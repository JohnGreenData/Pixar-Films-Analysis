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.xml" ContentType="application/vnd.openxmlformats-officedocument.drawing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10-file-01\personal$\john.green\Desktop\Pixar data project\"/>
    </mc:Choice>
  </mc:AlternateContent>
  <xr:revisionPtr revIDLastSave="0" documentId="13_ncr:1_{1B355982-C1F0-4993-80A9-98B12DE96EB5}" xr6:coauthVersionLast="47" xr6:coauthVersionMax="47" xr10:uidLastSave="{00000000-0000-0000-0000-000000000000}"/>
  <bookViews>
    <workbookView xWindow="-108" yWindow="-108" windowWidth="23256" windowHeight="12576" xr2:uid="{F0B7FE49-B98A-4323-A425-A4D23BA37768}"/>
  </bookViews>
  <sheets>
    <sheet name="Data" sheetId="1" r:id="rId1"/>
    <sheet name="Visualisations" sheetId="2" r:id="rId2"/>
    <sheet name="Director w most awards" sheetId="13" state="hidden" r:id="rId3"/>
    <sheet name="Director w most awards per film" sheetId="12" state="hidden" r:id="rId4"/>
    <sheet name="directors wip - ignore" sheetId="10" state="hidden" r:id="rId5"/>
  </sheets>
  <definedNames>
    <definedName name="_xlnm._FilterDatabase" localSheetId="2" hidden="1">'Director w most awards'!$A$1:$F$24</definedName>
    <definedName name="_xlnm._FilterDatabase" localSheetId="3" hidden="1">'Director w most awards per film'!$A$2:$F$25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4" i="1" l="1"/>
  <c r="H39" i="1"/>
  <c r="B36" i="1"/>
  <c r="B38" i="1"/>
  <c r="G38" i="1"/>
  <c r="G3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" i="1"/>
  <c r="C3" i="1"/>
  <c r="C15" i="1"/>
  <c r="C4" i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M34" i="1"/>
  <c r="F6" i="13"/>
  <c r="E6" i="13"/>
  <c r="E15" i="10"/>
  <c r="G25" i="1"/>
  <c r="U25" i="1"/>
  <c r="S27" i="1"/>
  <c r="T24" i="1"/>
  <c r="F24" i="13"/>
  <c r="E24" i="13"/>
  <c r="F23" i="13"/>
  <c r="E23" i="13"/>
  <c r="F22" i="13"/>
  <c r="E22" i="13"/>
  <c r="F21" i="13"/>
  <c r="E21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7" i="13"/>
  <c r="E7" i="13"/>
  <c r="F5" i="13"/>
  <c r="E5" i="13"/>
  <c r="F4" i="13"/>
  <c r="E4" i="13"/>
  <c r="F3" i="13"/>
  <c r="E3" i="13"/>
  <c r="F2" i="13"/>
  <c r="E2" i="13"/>
  <c r="F6" i="12"/>
  <c r="F10" i="12"/>
  <c r="F13" i="12"/>
  <c r="F14" i="12"/>
  <c r="F3" i="12"/>
  <c r="F4" i="12"/>
  <c r="F5" i="12"/>
  <c r="F15" i="12"/>
  <c r="F8" i="12"/>
  <c r="F9" i="12"/>
  <c r="F11" i="12"/>
  <c r="F12" i="12"/>
  <c r="F16" i="12"/>
  <c r="F17" i="12"/>
  <c r="F18" i="12"/>
  <c r="F19" i="12"/>
  <c r="F20" i="12"/>
  <c r="F21" i="12"/>
  <c r="F22" i="12"/>
  <c r="F23" i="12"/>
  <c r="F24" i="12"/>
  <c r="F25" i="12"/>
  <c r="F7" i="12"/>
  <c r="E6" i="12"/>
  <c r="E10" i="12"/>
  <c r="E13" i="12"/>
  <c r="E14" i="12"/>
  <c r="E3" i="12"/>
  <c r="E4" i="12"/>
  <c r="E5" i="12"/>
  <c r="E15" i="12"/>
  <c r="E8" i="12"/>
  <c r="E9" i="12"/>
  <c r="E11" i="12"/>
  <c r="E12" i="12"/>
  <c r="E16" i="12"/>
  <c r="E17" i="12"/>
  <c r="E18" i="12"/>
  <c r="E19" i="12"/>
  <c r="E20" i="12"/>
  <c r="E21" i="12"/>
  <c r="E22" i="12"/>
  <c r="E23" i="12"/>
  <c r="E24" i="12"/>
  <c r="E25" i="12"/>
  <c r="E7" i="12"/>
  <c r="E55" i="10"/>
  <c r="E3" i="10"/>
  <c r="E4" i="10"/>
  <c r="E5" i="10"/>
  <c r="E6" i="10"/>
  <c r="E7" i="10"/>
  <c r="E8" i="10"/>
  <c r="E9" i="10"/>
  <c r="E10" i="10"/>
  <c r="E11" i="10"/>
  <c r="E12" i="10"/>
  <c r="E13" i="10"/>
  <c r="E14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E2" i="10"/>
  <c r="D2" i="10"/>
  <c r="AE37" i="1"/>
  <c r="AF37" i="1"/>
  <c r="AE35" i="1"/>
  <c r="AF35" i="1"/>
  <c r="AF34" i="1"/>
  <c r="AE33" i="1"/>
  <c r="AF33" i="1"/>
  <c r="B37" i="1"/>
  <c r="B35" i="1"/>
  <c r="M33" i="1"/>
  <c r="K34" i="1"/>
  <c r="K33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6" i="1"/>
  <c r="G27" i="1"/>
  <c r="G28" i="1"/>
  <c r="G29" i="1"/>
  <c r="G30" i="1"/>
  <c r="G4" i="1"/>
  <c r="I35" i="1"/>
  <c r="I34" i="1"/>
  <c r="I33" i="1"/>
  <c r="B34" i="1"/>
  <c r="AC33" i="1"/>
  <c r="AA33" i="1"/>
  <c r="Y33" i="1"/>
  <c r="X34" i="1"/>
  <c r="Y34" i="1"/>
  <c r="Z34" i="1"/>
  <c r="AA34" i="1"/>
  <c r="AB34" i="1"/>
  <c r="AC34" i="1"/>
  <c r="X35" i="1"/>
  <c r="Y35" i="1"/>
  <c r="Z35" i="1"/>
  <c r="AA35" i="1"/>
  <c r="AB35" i="1"/>
  <c r="AC35" i="1"/>
  <c r="X37" i="1"/>
  <c r="Y37" i="1"/>
  <c r="Z37" i="1"/>
  <c r="AA37" i="1"/>
  <c r="AA38" i="1" s="1"/>
  <c r="AB37" i="1"/>
  <c r="AC37" i="1"/>
  <c r="I37" i="1"/>
  <c r="AK12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" i="1"/>
  <c r="P37" i="1"/>
  <c r="N33" i="1"/>
  <c r="O33" i="1"/>
  <c r="P33" i="1"/>
  <c r="N34" i="1"/>
  <c r="O34" i="1"/>
  <c r="P34" i="1"/>
  <c r="N35" i="1"/>
  <c r="N36" i="1" s="1"/>
  <c r="O35" i="1"/>
  <c r="P35" i="1"/>
  <c r="N37" i="1"/>
  <c r="O37" i="1"/>
  <c r="M37" i="1"/>
  <c r="M38" i="1" s="1"/>
  <c r="M35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" i="1"/>
  <c r="U30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6" i="1"/>
  <c r="U27" i="1"/>
  <c r="U28" i="1"/>
  <c r="U29" i="1"/>
  <c r="U3" i="1"/>
  <c r="T3" i="1"/>
  <c r="T3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5" i="1"/>
  <c r="T26" i="1"/>
  <c r="T27" i="1"/>
  <c r="T28" i="1"/>
  <c r="T29" i="1"/>
  <c r="S3" i="1"/>
  <c r="AK3" i="1"/>
  <c r="S2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4" i="1"/>
  <c r="S25" i="1"/>
  <c r="S26" i="1"/>
  <c r="S28" i="1"/>
  <c r="S29" i="1"/>
  <c r="S30" i="1"/>
  <c r="AK30" i="1"/>
  <c r="AK4" i="1"/>
  <c r="AK5" i="1"/>
  <c r="AK6" i="1"/>
  <c r="AK7" i="1"/>
  <c r="AK8" i="1"/>
  <c r="AK9" i="1"/>
  <c r="AK10" i="1"/>
  <c r="AK11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D34" i="1" l="1"/>
  <c r="G33" i="1"/>
  <c r="D33" i="1"/>
  <c r="G37" i="1"/>
  <c r="G35" i="1"/>
  <c r="G34" i="1"/>
  <c r="AE38" i="1"/>
  <c r="Z38" i="1"/>
  <c r="O36" i="1"/>
  <c r="Z36" i="1"/>
  <c r="X36" i="1"/>
  <c r="I38" i="1"/>
  <c r="P36" i="1"/>
  <c r="M36" i="1"/>
  <c r="Y38" i="1"/>
  <c r="X38" i="1"/>
  <c r="O38" i="1"/>
  <c r="AC38" i="1"/>
  <c r="P38" i="1"/>
  <c r="AC36" i="1"/>
  <c r="Y36" i="1"/>
  <c r="AF38" i="1"/>
  <c r="N38" i="1"/>
  <c r="AB36" i="1"/>
  <c r="AA36" i="1"/>
  <c r="I36" i="1"/>
  <c r="AB38" i="1"/>
  <c r="T34" i="1"/>
  <c r="U34" i="1"/>
  <c r="S37" i="1"/>
  <c r="S38" i="1" s="1"/>
  <c r="V37" i="1"/>
  <c r="V38" i="1" s="1"/>
  <c r="V35" i="1"/>
  <c r="V36" i="1" s="1"/>
  <c r="V34" i="1"/>
  <c r="U35" i="1"/>
  <c r="U36" i="1" s="1"/>
  <c r="T35" i="1"/>
  <c r="T36" i="1" s="1"/>
  <c r="R33" i="1"/>
  <c r="U37" i="1"/>
  <c r="U38" i="1" s="1"/>
  <c r="R35" i="1"/>
  <c r="R36" i="1" s="1"/>
  <c r="R37" i="1"/>
  <c r="R38" i="1" s="1"/>
  <c r="R34" i="1"/>
  <c r="T37" i="1"/>
  <c r="T38" i="1" s="1"/>
  <c r="S34" i="1"/>
  <c r="S35" i="1"/>
  <c r="S36" i="1" s="1"/>
</calcChain>
</file>

<file path=xl/sharedStrings.xml><?xml version="1.0" encoding="utf-8"?>
<sst xmlns="http://schemas.openxmlformats.org/spreadsheetml/2006/main" count="1014" uniqueCount="214">
  <si>
    <t>Budget : Box Office Ratio</t>
  </si>
  <si>
    <t>Box Office : Budget Ratio</t>
  </si>
  <si>
    <t>Toy Story</t>
  </si>
  <si>
    <t>A Bug's Life</t>
  </si>
  <si>
    <t>Toy Story 2</t>
  </si>
  <si>
    <t>Monsters, Inc.</t>
  </si>
  <si>
    <t>Finding Nemo</t>
  </si>
  <si>
    <t>The Incredibles</t>
  </si>
  <si>
    <t>Cars</t>
  </si>
  <si>
    <t>Ratatouille</t>
  </si>
  <si>
    <t>WALL-E</t>
  </si>
  <si>
    <t>Up</t>
  </si>
  <si>
    <t>Toy Story 3</t>
  </si>
  <si>
    <t>Cars 2</t>
  </si>
  <si>
    <t>Brave</t>
  </si>
  <si>
    <t>Monsters University</t>
  </si>
  <si>
    <t>Inside Out</t>
  </si>
  <si>
    <t>The Good Dinosaur</t>
  </si>
  <si>
    <t>Finding Dory</t>
  </si>
  <si>
    <t>Cars 3</t>
  </si>
  <si>
    <t>Coco</t>
  </si>
  <si>
    <t>Incredibles 2</t>
  </si>
  <si>
    <t>Toy Story 4</t>
  </si>
  <si>
    <t>Onward</t>
  </si>
  <si>
    <t>Soul</t>
  </si>
  <si>
    <t>Luca</t>
  </si>
  <si>
    <t>Turning Red</t>
  </si>
  <si>
    <t>Lightyear</t>
  </si>
  <si>
    <t>Elemental</t>
  </si>
  <si>
    <t>Inside Out 2</t>
  </si>
  <si>
    <t>Film</t>
  </si>
  <si>
    <t>Budget</t>
  </si>
  <si>
    <t>Box Office (Worldwide)</t>
  </si>
  <si>
    <t>Data Validation (US + Canada + ROW = Worldwide?)</t>
  </si>
  <si>
    <t>Rest of World Sales as a Percentage of Worldwide Sales</t>
  </si>
  <si>
    <t>Box Office 
(US &amp; Canada)</t>
  </si>
  <si>
    <t>Box Office 
(Rest of World)</t>
  </si>
  <si>
    <t>US &amp; Canada Sales as a Percentage of Worldwide Sales</t>
  </si>
  <si>
    <t>Profit</t>
  </si>
  <si>
    <t>Total</t>
  </si>
  <si>
    <t>Min</t>
  </si>
  <si>
    <t>Max</t>
  </si>
  <si>
    <t>Min Film</t>
  </si>
  <si>
    <t>Max Film</t>
  </si>
  <si>
    <t>Film name (for Vlookup)</t>
  </si>
  <si>
    <t>G</t>
  </si>
  <si>
    <t>PG</t>
  </si>
  <si>
    <t>Release Date</t>
  </si>
  <si>
    <t>Duration (minutes)</t>
  </si>
  <si>
    <t>Rating</t>
  </si>
  <si>
    <t>Rotten Tomatoes: Number of Reviews</t>
  </si>
  <si>
    <t>IMDB: Number of Reviews</t>
  </si>
  <si>
    <t>MetaCritic: Number of Reviews</t>
  </si>
  <si>
    <t>Stats</t>
  </si>
  <si>
    <t>General</t>
  </si>
  <si>
    <t>Finance - Raw Data</t>
  </si>
  <si>
    <t>Finance - Analysed</t>
  </si>
  <si>
    <t>Audience Reception</t>
  </si>
  <si>
    <t>N/A</t>
  </si>
  <si>
    <t>Previous Film name for vlookup</t>
  </si>
  <si>
    <t>Time Since Last Release (in Days)</t>
  </si>
  <si>
    <t>Films Rated G:</t>
  </si>
  <si>
    <t>Films Rated PG:</t>
  </si>
  <si>
    <t>Academy Awards</t>
  </si>
  <si>
    <t>Number of Awards won</t>
  </si>
  <si>
    <t>Number of Awards Nominated for</t>
  </si>
  <si>
    <t>John Lasseter</t>
  </si>
  <si>
    <t>Andrew Stanton, John Lasseter</t>
  </si>
  <si>
    <t>Ash Brannon, John Lasseter, Lee Unkrich</t>
  </si>
  <si>
    <t>David Silverman, Lee Unkrich, Pete Docter</t>
  </si>
  <si>
    <t>Andrew Stanton, Lee Unkrich</t>
  </si>
  <si>
    <t>Brad Bird</t>
  </si>
  <si>
    <t>Joe Ranft, John Lasseter</t>
  </si>
  <si>
    <t>Brad Bird, Jan Pinkava</t>
  </si>
  <si>
    <t>Andrew Stanton</t>
  </si>
  <si>
    <t>Bob Peterson, Pete Docter</t>
  </si>
  <si>
    <t>Lee Unkrich</t>
  </si>
  <si>
    <t>Brad Lewis, John Lasseter</t>
  </si>
  <si>
    <t>Dan Scanlon</t>
  </si>
  <si>
    <t>Pete Docter, Ronnie del Carmen</t>
  </si>
  <si>
    <t>Peter Sohn</t>
  </si>
  <si>
    <t>Andrew Stanton, Angus MacLane</t>
  </si>
  <si>
    <t>Brian Fee</t>
  </si>
  <si>
    <t>Adrian Molina, Lee Unkrich</t>
  </si>
  <si>
    <t>Josh Cooley</t>
  </si>
  <si>
    <t>Kemp Powers, Pete Docter</t>
  </si>
  <si>
    <t>Jesse Andrews</t>
  </si>
  <si>
    <t>Domee Shi</t>
  </si>
  <si>
    <t>Angus MacLane</t>
  </si>
  <si>
    <t>Kelsey Mann</t>
  </si>
  <si>
    <t>Brenda Chapman, Mark Andrews</t>
  </si>
  <si>
    <t>Directors</t>
  </si>
  <si>
    <t>Director(s) (listed alphabetically for each film, where there's multiple)</t>
  </si>
  <si>
    <t>film</t>
  </si>
  <si>
    <t>Row Labels</t>
  </si>
  <si>
    <t>Grand Total</t>
  </si>
  <si>
    <t>role_type</t>
  </si>
  <si>
    <t>name</t>
  </si>
  <si>
    <t>Director</t>
  </si>
  <si>
    <t>Musician</t>
  </si>
  <si>
    <t>Randy Newman</t>
  </si>
  <si>
    <t>Producer</t>
  </si>
  <si>
    <t>Bonnie Arnold</t>
  </si>
  <si>
    <t>Ralph Guggenheim</t>
  </si>
  <si>
    <t>Screenwriter</t>
  </si>
  <si>
    <t>Joel Cohen</t>
  </si>
  <si>
    <t>Alec Sokolow</t>
  </si>
  <si>
    <t>Joss Whedon</t>
  </si>
  <si>
    <t>Storywriter</t>
  </si>
  <si>
    <t>Pete Docter</t>
  </si>
  <si>
    <t>Joe Ranft</t>
  </si>
  <si>
    <t>Co-director</t>
  </si>
  <si>
    <t>Darla K. Anderson</t>
  </si>
  <si>
    <t>Kevin Reher</t>
  </si>
  <si>
    <t>Donald McEnery</t>
  </si>
  <si>
    <t>Bob Shaw</t>
  </si>
  <si>
    <t>Ash Brannon</t>
  </si>
  <si>
    <t>Karen Robert Jackson</t>
  </si>
  <si>
    <t>Helene Plotkin</t>
  </si>
  <si>
    <t>Doug Chamberlin</t>
  </si>
  <si>
    <t>Rita Hsiao</t>
  </si>
  <si>
    <t>Chris Webb</t>
  </si>
  <si>
    <t>David Silverman</t>
  </si>
  <si>
    <t>Dan Gerson</t>
  </si>
  <si>
    <t>Jill Culton</t>
  </si>
  <si>
    <t>Ralph Eggleston</t>
  </si>
  <si>
    <t>Jeff Pidgeon</t>
  </si>
  <si>
    <t>Thomas Newman</t>
  </si>
  <si>
    <t>Graham Walters</t>
  </si>
  <si>
    <t>Bob Peterson</t>
  </si>
  <si>
    <t>David Reynolds</t>
  </si>
  <si>
    <t>Michael Giacchino</t>
  </si>
  <si>
    <t>John Walker</t>
  </si>
  <si>
    <t>Dan Fogelman</t>
  </si>
  <si>
    <t>Jorgen Klubien</t>
  </si>
  <si>
    <t>Phil Lorin</t>
  </si>
  <si>
    <t>Kiel Murray</t>
  </si>
  <si>
    <t>Jan Pinkava</t>
  </si>
  <si>
    <t>Brad Lewis</t>
  </si>
  <si>
    <t>Jim Capobianco</t>
  </si>
  <si>
    <t>Jim Morris</t>
  </si>
  <si>
    <t>Jim Reardon</t>
  </si>
  <si>
    <t>Jonas Rivera</t>
  </si>
  <si>
    <t>Tom McCarthy</t>
  </si>
  <si>
    <t>Michael Arndt</t>
  </si>
  <si>
    <t>Denise Ream</t>
  </si>
  <si>
    <t>Ben Queen</t>
  </si>
  <si>
    <t>Mark Andrews</t>
  </si>
  <si>
    <t>Kori Rae</t>
  </si>
  <si>
    <t>Robert L. Baird</t>
  </si>
  <si>
    <t>Ronnie del Carmen</t>
  </si>
  <si>
    <t>Meg LeFauve</t>
  </si>
  <si>
    <t>del Carmen</t>
  </si>
  <si>
    <t>Mychael</t>
  </si>
  <si>
    <t>Jeff Danna</t>
  </si>
  <si>
    <t>Erik Benson</t>
  </si>
  <si>
    <t>Lindsey Collins</t>
  </si>
  <si>
    <t>Victoria Strouse</t>
  </si>
  <si>
    <t>Mike Rich</t>
  </si>
  <si>
    <t>Eyal Podell</t>
  </si>
  <si>
    <t>Jonathan E. Stewart</t>
  </si>
  <si>
    <t>Adrian Molina</t>
  </si>
  <si>
    <t>Matthew Aldrich</t>
  </si>
  <si>
    <t>Jason Katz</t>
  </si>
  <si>
    <t>Nicole Paradis Grindle</t>
  </si>
  <si>
    <t>Mark Nielsen</t>
  </si>
  <si>
    <t>Stephany Folsom</t>
  </si>
  <si>
    <t>Martin Hynes</t>
  </si>
  <si>
    <t>Rashida Jones</t>
  </si>
  <si>
    <t>Valerie LaPointe</t>
  </si>
  <si>
    <t>Will McCormack</t>
  </si>
  <si>
    <t>Keith Bunin</t>
  </si>
  <si>
    <t>Jason Headley</t>
  </si>
  <si>
    <t>Kemp Powers</t>
  </si>
  <si>
    <t>Trent Reznor</t>
  </si>
  <si>
    <t>Atticus Ross</t>
  </si>
  <si>
    <t>Dana Murray</t>
  </si>
  <si>
    <t>Mike Jones</t>
  </si>
  <si>
    <t>Ludwig GÃ¶ransson</t>
  </si>
  <si>
    <t>Julia Cho</t>
  </si>
  <si>
    <t>Sarah Streicher</t>
  </si>
  <si>
    <t>Galyn Susman</t>
  </si>
  <si>
    <t>John Hoberg</t>
  </si>
  <si>
    <t>Brenda Hsueh</t>
  </si>
  <si>
    <t>Kat Likkel</t>
  </si>
  <si>
    <t>Andrea Datzman</t>
  </si>
  <si>
    <t>Dave Holstein</t>
  </si>
  <si>
    <t>Count of film</t>
  </si>
  <si>
    <t>(Multiple Items)</t>
  </si>
  <si>
    <t>won</t>
  </si>
  <si>
    <t>nominated</t>
  </si>
  <si>
    <t>Sum of won</t>
  </si>
  <si>
    <t>Sum of nominated</t>
  </si>
  <si>
    <t>number of films</t>
  </si>
  <si>
    <t>Wins per film</t>
  </si>
  <si>
    <t>Nominations per film</t>
  </si>
  <si>
    <t>Awards &amp; Directors</t>
  </si>
  <si>
    <t>Budgets and Box Office Sales Charts</t>
  </si>
  <si>
    <t>General Charts</t>
  </si>
  <si>
    <t>Audience Reception Charts</t>
  </si>
  <si>
    <t>Release Day</t>
  </si>
  <si>
    <t>Release Month</t>
  </si>
  <si>
    <t>Released in Mar</t>
  </si>
  <si>
    <t>Released in May</t>
  </si>
  <si>
    <t>Released in Jun</t>
  </si>
  <si>
    <t>Released in Nov</t>
  </si>
  <si>
    <t>Released in Dec</t>
  </si>
  <si>
    <t>Released on Wed</t>
  </si>
  <si>
    <t>Released on Fri</t>
  </si>
  <si>
    <t>Average (mean)</t>
  </si>
  <si>
    <t>Median:</t>
  </si>
  <si>
    <t>Rotten Tomatoes Score</t>
  </si>
  <si>
    <t>MetaCritic Score</t>
  </si>
  <si>
    <t>IMDB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</si>
</sst>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_ ;_-@_ 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23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0">
    <xf numFmtId="0" fontId="0" fillId="0" borderId="0" xfId="0"/>
    <xf numFmtId="0" fontId="16" fillId="0" borderId="0" xfId="0" applyFont="1" applyAlignment="1">
      <alignment wrapText="1"/>
    </xf>
    <xf numFmtId="0" fontId="0" fillId="0" borderId="10" xfId="0" applyBorder="1"/>
    <xf numFmtId="2" fontId="0" fillId="0" borderId="10" xfId="0" applyNumberFormat="1" applyBorder="1"/>
    <xf numFmtId="10" fontId="0" fillId="0" borderId="10" xfId="0" applyNumberFormat="1" applyBorder="1"/>
    <xf numFmtId="164" fontId="0" fillId="0" borderId="10" xfId="0" applyNumberFormat="1" applyBorder="1"/>
    <xf numFmtId="164" fontId="0" fillId="0" borderId="0" xfId="0" applyNumberFormat="1"/>
    <xf numFmtId="0" fontId="0" fillId="0" borderId="10" xfId="0" applyBorder="1" applyAlignment="1">
      <alignment horizontal="right"/>
    </xf>
    <xf numFmtId="10" fontId="0" fillId="0" borderId="0" xfId="0" applyNumberFormat="1"/>
    <xf numFmtId="2" fontId="0" fillId="0" borderId="0" xfId="0" applyNumberFormat="1"/>
    <xf numFmtId="14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right"/>
    </xf>
    <xf numFmtId="2" fontId="0" fillId="33" borderId="10" xfId="0" applyNumberFormat="1" applyFill="1" applyBorder="1"/>
    <xf numFmtId="0" fontId="16" fillId="0" borderId="10" xfId="0" applyFont="1" applyBorder="1"/>
    <xf numFmtId="10" fontId="0" fillId="33" borderId="10" xfId="0" applyNumberFormat="1" applyFill="1" applyBorder="1"/>
    <xf numFmtId="0" fontId="0" fillId="0" borderId="0" xfId="0" applyAlignment="1">
      <alignment horizontal="right"/>
    </xf>
    <xf numFmtId="14" fontId="0" fillId="0" borderId="10" xfId="0" applyNumberFormat="1" applyBorder="1" applyAlignment="1">
      <alignment horizontal="right"/>
    </xf>
    <xf numFmtId="14" fontId="0" fillId="33" borderId="10" xfId="0" applyNumberFormat="1" applyFill="1" applyBorder="1" applyAlignment="1">
      <alignment horizontal="right"/>
    </xf>
    <xf numFmtId="1" fontId="0" fillId="0" borderId="10" xfId="0" applyNumberFormat="1" applyBorder="1"/>
    <xf numFmtId="0" fontId="16" fillId="0" borderId="12" xfId="0" applyFont="1" applyBorder="1" applyAlignment="1">
      <alignment wrapText="1"/>
    </xf>
    <xf numFmtId="0" fontId="16" fillId="33" borderId="10" xfId="0" applyFont="1" applyFill="1" applyBorder="1"/>
    <xf numFmtId="1" fontId="0" fillId="0" borderId="0" xfId="0" applyNumberFormat="1"/>
    <xf numFmtId="0" fontId="17" fillId="33" borderId="10" xfId="0" applyFont="1" applyFill="1" applyBorder="1"/>
    <xf numFmtId="49" fontId="17" fillId="33" borderId="10" xfId="0" applyNumberFormat="1" applyFont="1" applyFill="1" applyBorder="1"/>
    <xf numFmtId="0" fontId="0" fillId="0" borderId="11" xfId="0" applyBorder="1"/>
    <xf numFmtId="0" fontId="16" fillId="0" borderId="10" xfId="0" applyFont="1" applyBorder="1" applyAlignment="1">
      <alignment horizontal="center"/>
    </xf>
    <xf numFmtId="0" fontId="16" fillId="33" borderId="14" xfId="0" applyFont="1" applyFill="1" applyBorder="1"/>
    <xf numFmtId="49" fontId="19" fillId="0" borderId="0" xfId="0" applyNumberFormat="1" applyFont="1"/>
    <xf numFmtId="0" fontId="13" fillId="33" borderId="10" xfId="0" applyFont="1" applyFill="1" applyBorder="1" applyAlignment="1">
      <alignment wrapText="1"/>
    </xf>
    <xf numFmtId="1" fontId="0" fillId="33" borderId="10" xfId="0" applyNumberFormat="1" applyFill="1" applyBorder="1"/>
    <xf numFmtId="0" fontId="18" fillId="0" borderId="18" xfId="0" applyFont="1" applyBorder="1"/>
    <xf numFmtId="14" fontId="0" fillId="33" borderId="10" xfId="0" applyNumberFormat="1" applyFill="1" applyBorder="1" applyAlignment="1">
      <alignment horizontal="left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2" fillId="0" borderId="0" xfId="0" applyFont="1"/>
    <xf numFmtId="2" fontId="0" fillId="0" borderId="11" xfId="0" applyNumberFormat="1" applyBorder="1"/>
    <xf numFmtId="0" fontId="0" fillId="33" borderId="14" xfId="0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0" fillId="34" borderId="19" xfId="0" applyFill="1" applyBorder="1" applyAlignment="1">
      <alignment horizontal="right"/>
    </xf>
    <xf numFmtId="0" fontId="0" fillId="34" borderId="20" xfId="0" applyFill="1" applyBorder="1"/>
    <xf numFmtId="0" fontId="0" fillId="34" borderId="21" xfId="0" applyFill="1" applyBorder="1" applyAlignment="1">
      <alignment horizontal="right"/>
    </xf>
    <xf numFmtId="0" fontId="0" fillId="34" borderId="22" xfId="0" applyFill="1" applyBorder="1" applyAlignment="1">
      <alignment horizontal="right"/>
    </xf>
    <xf numFmtId="14" fontId="0" fillId="33" borderId="10" xfId="0" applyNumberFormat="1" applyFill="1" applyBorder="1"/>
    <xf numFmtId="14" fontId="0" fillId="0" borderId="0" xfId="0" applyNumberFormat="1"/>
    <xf numFmtId="0" fontId="16" fillId="0" borderId="10" xfId="0" applyFont="1" applyBorder="1" applyAlignment="1">
      <alignment horizontal="center" wrapText="1"/>
    </xf>
    <xf numFmtId="0" fontId="0" fillId="33" borderId="11" xfId="0" applyFill="1" applyBorder="1"/>
    <xf numFmtId="14" fontId="0" fillId="0" borderId="11" xfId="0" applyNumberFormat="1" applyBorder="1"/>
    <xf numFmtId="14" fontId="0" fillId="34" borderId="19" xfId="0" applyNumberFormat="1" applyFill="1" applyBorder="1"/>
    <xf numFmtId="14" fontId="0" fillId="34" borderId="21" xfId="0" applyNumberFormat="1" applyFill="1" applyBorder="1"/>
    <xf numFmtId="14" fontId="0" fillId="0" borderId="0" xfId="0" applyNumberFormat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0" xfId="0" applyFont="1" applyFill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33" borderId="10" xfId="0" applyFont="1" applyFill="1" applyBorder="1" applyAlignment="1">
      <alignment horizontal="center" wrapText="1"/>
    </xf>
    <xf numFmtId="1" fontId="0" fillId="34" borderId="25" xfId="0" applyNumberFormat="1" applyFill="1" applyBorder="1"/>
    <xf numFmtId="1" fontId="0" fillId="34" borderId="26" xfId="0" applyNumberFormat="1" applyFill="1" applyBorder="1"/>
    <xf numFmtId="0" fontId="0" fillId="33" borderId="15" xfId="0" applyFill="1" applyBorder="1"/>
    <xf numFmtId="14" fontId="0" fillId="33" borderId="11" xfId="0" applyNumberFormat="1" applyFill="1" applyBorder="1" applyAlignment="1">
      <alignment horizontal="right"/>
    </xf>
    <xf numFmtId="14" fontId="0" fillId="33" borderId="11" xfId="0" applyNumberFormat="1" applyFill="1" applyBorder="1"/>
    <xf numFmtId="0" fontId="0" fillId="34" borderId="19" xfId="0" applyFill="1" applyBorder="1" applyAlignment="1">
      <alignment horizontal="left"/>
    </xf>
    <xf numFmtId="0" fontId="0" fillId="34" borderId="27" xfId="0" applyFill="1" applyBorder="1" applyAlignment="1">
      <alignment horizontal="left"/>
    </xf>
    <xf numFmtId="0" fontId="0" fillId="34" borderId="28" xfId="0" applyFill="1" applyBorder="1"/>
    <xf numFmtId="0" fontId="0" fillId="34" borderId="21" xfId="0" applyFill="1" applyBorder="1" applyAlignment="1">
      <alignment horizontal="left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1" fontId="0" fillId="0" borderId="11" xfId="0" applyNumberFormat="1" applyBorder="1"/>
    <xf numFmtId="1" fontId="0" fillId="0" borderId="14" xfId="0" applyNumberFormat="1" applyBorder="1"/>
    <xf numFmtId="0" fontId="16" fillId="0" borderId="11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2" fontId="0" fillId="0" borderId="1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34" borderId="26" xfId="0" applyFill="1" applyBorder="1"/>
    <xf numFmtId="0" fontId="0" fillId="33" borderId="15" xfId="0" applyFill="1" applyBorder="1" applyAlignment="1">
      <alignment horizontal="right"/>
    </xf>
    <xf numFmtId="0" fontId="0" fillId="0" borderId="14" xfId="0" applyBorder="1"/>
    <xf numFmtId="0" fontId="0" fillId="0" borderId="14" xfId="0" applyBorder="1" applyAlignment="1">
      <alignment horizontal="right"/>
    </xf>
    <xf numFmtId="1" fontId="0" fillId="0" borderId="29" xfId="0" applyNumberFormat="1" applyBorder="1"/>
    <xf numFmtId="14" fontId="0" fillId="0" borderId="14" xfId="0" applyNumberFormat="1" applyBorder="1" applyAlignment="1">
      <alignment horizontal="right"/>
    </xf>
    <xf numFmtId="14" fontId="0" fillId="0" borderId="29" xfId="0" applyNumberFormat="1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10" xfId="0" applyFill="1" applyBorder="1" applyAlignment="1">
      <alignment horizontal="right"/>
    </xf>
    <xf numFmtId="1" fontId="0" fillId="0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color auto="1"/>
      </font>
      <fill>
        <patternFill>
          <bgColor rgb="FFFF8585"/>
        </patternFill>
      </fill>
    </dxf>
    <dxf>
      <font>
        <color auto="1"/>
      </font>
      <fill>
        <patternFill>
          <bgColor rgb="FFFF8585"/>
        </patternFill>
      </fill>
    </dxf>
    <dxf>
      <font>
        <color auto="1"/>
      </font>
      <fill>
        <patternFill>
          <bgColor rgb="FFFF8585"/>
        </patternFill>
      </fill>
    </dxf>
    <dxf>
      <fill>
        <patternFill>
          <bgColor rgb="FFC5EDFB"/>
        </patternFill>
      </fill>
    </dxf>
    <dxf>
      <fill>
        <patternFill>
          <bgColor rgb="FFB0E5FA"/>
        </patternFill>
      </fill>
    </dxf>
    <dxf>
      <fill>
        <patternFill>
          <bgColor rgb="FF50B5E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499984740745262"/>
        </patternFill>
      </fill>
    </dxf>
    <dxf>
      <fill>
        <patternFill>
          <bgColor rgb="FFFFAD75"/>
        </patternFill>
      </fill>
    </dxf>
    <dxf>
      <fill>
        <patternFill>
          <bgColor rgb="FFFF8D3F"/>
        </patternFill>
      </fill>
    </dxf>
    <dxf>
      <font>
        <color auto="1"/>
      </font>
      <fill>
        <patternFill>
          <bgColor rgb="FFFF8585"/>
        </patternFill>
      </fill>
    </dxf>
    <dxf>
      <font>
        <color auto="1"/>
      </font>
      <fill>
        <patternFill>
          <bgColor rgb="FFFF8585"/>
        </patternFill>
      </fill>
    </dxf>
    <dxf>
      <font>
        <color auto="1"/>
      </font>
      <fill>
        <patternFill>
          <bgColor rgb="FFFF8585"/>
        </patternFill>
      </fill>
    </dxf>
    <dxf>
      <fill>
        <patternFill>
          <bgColor rgb="FFC5EDFB"/>
        </patternFill>
      </fill>
    </dxf>
    <dxf>
      <fill>
        <patternFill>
          <bgColor rgb="FFB0E5FA"/>
        </patternFill>
      </fill>
    </dxf>
    <dxf>
      <fill>
        <patternFill>
          <bgColor rgb="FF50B5E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499984740745262"/>
        </patternFill>
      </fill>
    </dxf>
    <dxf>
      <fill>
        <patternFill>
          <bgColor rgb="FFFFAD75"/>
        </patternFill>
      </fill>
    </dxf>
    <dxf>
      <fill>
        <patternFill>
          <bgColor rgb="FFFE6700"/>
        </patternFill>
      </fill>
    </dxf>
    <dxf>
      <font>
        <color auto="1"/>
      </font>
      <fill>
        <patternFill>
          <bgColor rgb="FFFF8585"/>
        </patternFill>
      </fill>
    </dxf>
    <dxf>
      <font>
        <color auto="1"/>
      </font>
      <fill>
        <patternFill>
          <bgColor rgb="FFFF8585"/>
        </patternFill>
      </fill>
    </dxf>
    <dxf>
      <font>
        <color auto="1"/>
      </font>
      <fill>
        <patternFill>
          <bgColor rgb="FFFF8585"/>
        </patternFill>
      </fill>
    </dxf>
    <dxf>
      <fill>
        <patternFill>
          <bgColor rgb="FFC5EDFB"/>
        </patternFill>
      </fill>
    </dxf>
    <dxf>
      <fill>
        <patternFill>
          <bgColor rgb="FFB0E5FA"/>
        </patternFill>
      </fill>
    </dxf>
    <dxf>
      <fill>
        <patternFill>
          <bgColor rgb="FF50B5E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499984740745262"/>
        </patternFill>
      </fill>
    </dxf>
    <dxf>
      <fill>
        <patternFill>
          <bgColor rgb="FFFFAD75"/>
        </patternFill>
      </fill>
    </dxf>
    <dxf>
      <fill>
        <patternFill>
          <bgColor rgb="FF72C3E8"/>
        </patternFill>
      </fill>
    </dxf>
  </dxfs>
  <tableStyles count="0" defaultTableStyle="TableStyleMedium2" defaultPivotStyle="PivotStyleLight16"/>
  <colors>
    <mruColors>
      <color rgb="FF156082"/>
      <color rgb="FFFF8D3F"/>
      <color rgb="FFFF9D5B"/>
      <color rgb="FFFE6700"/>
      <color rgb="FFFFAD75"/>
      <color rgb="FFC5EDFB"/>
      <color rgb="FFB0E5FA"/>
      <color rgb="FF50B5E2"/>
      <color rgb="FF2195C9"/>
      <color rgb="FF1560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Film Durations, over the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18289094561955E-2"/>
          <c:y val="0.20374885971479376"/>
          <c:w val="0.88922822644282551"/>
          <c:h val="0.644436769436735"/>
        </c:manualLayout>
      </c:layout>
      <c:lineChart>
        <c:grouping val="standard"/>
        <c:varyColors val="0"/>
        <c:ser>
          <c:idx val="0"/>
          <c:order val="0"/>
          <c:tx>
            <c:v>Duration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9E6-477A-8631-6C96076BFFA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E6-477A-8631-6C96076BFFA8}"/>
                </c:ext>
              </c:extLst>
            </c:dLbl>
            <c:dLbl>
              <c:idx val="20"/>
              <c:layout>
                <c:manualLayout>
                  <c:x val="-2.7840140296770153E-2"/>
                  <c:y val="-5.6692015291456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E6-477A-8631-6C96076BFFA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E6-477A-8631-6C96076BFFA8}"/>
                </c:ext>
              </c:extLst>
            </c:dLbl>
            <c:dLbl>
              <c:idx val="23"/>
              <c:layout>
                <c:manualLayout>
                  <c:x val="-2.7255789525923252E-2"/>
                  <c:y val="1.89316225898686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E6-477A-8631-6C96076BFF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Data!$B$3:$B$30</c:f>
              <c:numCache>
                <c:formatCode>m/d/yyyy</c:formatCode>
                <c:ptCount val="28"/>
                <c:pt idx="0">
                  <c:v>35025</c:v>
                </c:pt>
                <c:pt idx="1">
                  <c:v>36124</c:v>
                </c:pt>
                <c:pt idx="2">
                  <c:v>36488</c:v>
                </c:pt>
                <c:pt idx="3">
                  <c:v>37197</c:v>
                </c:pt>
                <c:pt idx="4">
                  <c:v>37771</c:v>
                </c:pt>
                <c:pt idx="5">
                  <c:v>38296</c:v>
                </c:pt>
                <c:pt idx="6">
                  <c:v>38877</c:v>
                </c:pt>
                <c:pt idx="7">
                  <c:v>39262</c:v>
                </c:pt>
                <c:pt idx="8">
                  <c:v>39626</c:v>
                </c:pt>
                <c:pt idx="9">
                  <c:v>39962</c:v>
                </c:pt>
                <c:pt idx="10">
                  <c:v>40347</c:v>
                </c:pt>
                <c:pt idx="11">
                  <c:v>40718</c:v>
                </c:pt>
                <c:pt idx="12">
                  <c:v>41082</c:v>
                </c:pt>
                <c:pt idx="13">
                  <c:v>41446</c:v>
                </c:pt>
                <c:pt idx="14">
                  <c:v>42174</c:v>
                </c:pt>
                <c:pt idx="15">
                  <c:v>42333</c:v>
                </c:pt>
                <c:pt idx="16">
                  <c:v>42538</c:v>
                </c:pt>
                <c:pt idx="17">
                  <c:v>42902</c:v>
                </c:pt>
                <c:pt idx="18">
                  <c:v>43061</c:v>
                </c:pt>
                <c:pt idx="19">
                  <c:v>43266</c:v>
                </c:pt>
                <c:pt idx="20">
                  <c:v>43637</c:v>
                </c:pt>
                <c:pt idx="21">
                  <c:v>43896</c:v>
                </c:pt>
                <c:pt idx="22">
                  <c:v>44190</c:v>
                </c:pt>
                <c:pt idx="23">
                  <c:v>44365</c:v>
                </c:pt>
                <c:pt idx="24">
                  <c:v>44631</c:v>
                </c:pt>
                <c:pt idx="25">
                  <c:v>44729</c:v>
                </c:pt>
                <c:pt idx="26">
                  <c:v>45093</c:v>
                </c:pt>
                <c:pt idx="27">
                  <c:v>45457</c:v>
                </c:pt>
              </c:numCache>
            </c:numRef>
          </c:cat>
          <c:val>
            <c:numRef>
              <c:f>Data!$I$3:$I$30</c:f>
              <c:numCache>
                <c:formatCode>General</c:formatCode>
                <c:ptCount val="28"/>
                <c:pt idx="0">
                  <c:v>81</c:v>
                </c:pt>
                <c:pt idx="1">
                  <c:v>95</c:v>
                </c:pt>
                <c:pt idx="2">
                  <c:v>92</c:v>
                </c:pt>
                <c:pt idx="3">
                  <c:v>92</c:v>
                </c:pt>
                <c:pt idx="4">
                  <c:v>100</c:v>
                </c:pt>
                <c:pt idx="5">
                  <c:v>115</c:v>
                </c:pt>
                <c:pt idx="6">
                  <c:v>116</c:v>
                </c:pt>
                <c:pt idx="7">
                  <c:v>111</c:v>
                </c:pt>
                <c:pt idx="8">
                  <c:v>98</c:v>
                </c:pt>
                <c:pt idx="9">
                  <c:v>96</c:v>
                </c:pt>
                <c:pt idx="10">
                  <c:v>103</c:v>
                </c:pt>
                <c:pt idx="11">
                  <c:v>106</c:v>
                </c:pt>
                <c:pt idx="12">
                  <c:v>93</c:v>
                </c:pt>
                <c:pt idx="13">
                  <c:v>104</c:v>
                </c:pt>
                <c:pt idx="14">
                  <c:v>95</c:v>
                </c:pt>
                <c:pt idx="15">
                  <c:v>93</c:v>
                </c:pt>
                <c:pt idx="16">
                  <c:v>97</c:v>
                </c:pt>
                <c:pt idx="17">
                  <c:v>102</c:v>
                </c:pt>
                <c:pt idx="18">
                  <c:v>105</c:v>
                </c:pt>
                <c:pt idx="19">
                  <c:v>118</c:v>
                </c:pt>
                <c:pt idx="20">
                  <c:v>100</c:v>
                </c:pt>
                <c:pt idx="21">
                  <c:v>102</c:v>
                </c:pt>
                <c:pt idx="22">
                  <c:v>100</c:v>
                </c:pt>
                <c:pt idx="23">
                  <c:v>95</c:v>
                </c:pt>
                <c:pt idx="24">
                  <c:v>100</c:v>
                </c:pt>
                <c:pt idx="25">
                  <c:v>105</c:v>
                </c:pt>
                <c:pt idx="26">
                  <c:v>101</c:v>
                </c:pt>
                <c:pt idx="27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9-4974-B94E-6D6D0D09CC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18009055"/>
        <c:axId val="1618008095"/>
      </c:lineChart>
      <c:dateAx>
        <c:axId val="1618009055"/>
        <c:scaling>
          <c:orientation val="minMax"/>
          <c:max val="458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'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08095"/>
        <c:crosses val="autoZero"/>
        <c:auto val="1"/>
        <c:lblOffset val="100"/>
        <c:baseTimeUnit val="months"/>
        <c:majorUnit val="1"/>
        <c:majorTimeUnit val="years"/>
      </c:dateAx>
      <c:valAx>
        <c:axId val="16180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Film Duration</a:t>
                </a:r>
                <a:r>
                  <a:rPr lang="en-GB" baseline="0"/>
                  <a:t> (mins.)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0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Budget</a:t>
            </a:r>
            <a:r>
              <a:rPr lang="en-GB" baseline="0"/>
              <a:t> Per Film, </a:t>
            </a:r>
            <a:r>
              <a:rPr lang="en-GB"/>
              <a:t>over the Years</a:t>
            </a:r>
          </a:p>
        </c:rich>
      </c:tx>
      <c:layout>
        <c:manualLayout>
          <c:xMode val="edge"/>
          <c:yMode val="edge"/>
          <c:x val="0.42297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56233595800522"/>
          <c:y val="0.14981463254593175"/>
          <c:w val="0.74375738188976381"/>
          <c:h val="0.69391987843624814"/>
        </c:manualLayout>
      </c:layout>
      <c:lineChart>
        <c:grouping val="standard"/>
        <c:varyColors val="0"/>
        <c:ser>
          <c:idx val="1"/>
          <c:order val="0"/>
          <c:tx>
            <c:v>Budget</c:v>
          </c:tx>
          <c:spPr>
            <a:ln w="28575" cap="rnd">
              <a:solidFill>
                <a:srgbClr val="156082"/>
              </a:solidFill>
              <a:round/>
            </a:ln>
            <a:effectLst/>
          </c:spPr>
          <c:marker>
            <c:symbol val="none"/>
          </c:marker>
          <c:cat>
            <c:numRef>
              <c:f>Data!$B$3:$B$30</c:f>
              <c:numCache>
                <c:formatCode>m/d/yyyy</c:formatCode>
                <c:ptCount val="28"/>
                <c:pt idx="0">
                  <c:v>35025</c:v>
                </c:pt>
                <c:pt idx="1">
                  <c:v>36124</c:v>
                </c:pt>
                <c:pt idx="2">
                  <c:v>36488</c:v>
                </c:pt>
                <c:pt idx="3">
                  <c:v>37197</c:v>
                </c:pt>
                <c:pt idx="4">
                  <c:v>37771</c:v>
                </c:pt>
                <c:pt idx="5">
                  <c:v>38296</c:v>
                </c:pt>
                <c:pt idx="6">
                  <c:v>38877</c:v>
                </c:pt>
                <c:pt idx="7">
                  <c:v>39262</c:v>
                </c:pt>
                <c:pt idx="8">
                  <c:v>39626</c:v>
                </c:pt>
                <c:pt idx="9">
                  <c:v>39962</c:v>
                </c:pt>
                <c:pt idx="10">
                  <c:v>40347</c:v>
                </c:pt>
                <c:pt idx="11">
                  <c:v>40718</c:v>
                </c:pt>
                <c:pt idx="12">
                  <c:v>41082</c:v>
                </c:pt>
                <c:pt idx="13">
                  <c:v>41446</c:v>
                </c:pt>
                <c:pt idx="14">
                  <c:v>42174</c:v>
                </c:pt>
                <c:pt idx="15">
                  <c:v>42333</c:v>
                </c:pt>
                <c:pt idx="16">
                  <c:v>42538</c:v>
                </c:pt>
                <c:pt idx="17">
                  <c:v>42902</c:v>
                </c:pt>
                <c:pt idx="18">
                  <c:v>43061</c:v>
                </c:pt>
                <c:pt idx="19">
                  <c:v>43266</c:v>
                </c:pt>
                <c:pt idx="20">
                  <c:v>43637</c:v>
                </c:pt>
                <c:pt idx="21">
                  <c:v>43896</c:v>
                </c:pt>
                <c:pt idx="22">
                  <c:v>44190</c:v>
                </c:pt>
                <c:pt idx="23">
                  <c:v>44365</c:v>
                </c:pt>
                <c:pt idx="24">
                  <c:v>44631</c:v>
                </c:pt>
                <c:pt idx="25">
                  <c:v>44729</c:v>
                </c:pt>
                <c:pt idx="26">
                  <c:v>45093</c:v>
                </c:pt>
                <c:pt idx="27">
                  <c:v>45457</c:v>
                </c:pt>
              </c:numCache>
            </c:numRef>
          </c:cat>
          <c:val>
            <c:numRef>
              <c:f>Data!$M$3:$M$30</c:f>
              <c:numCache>
                <c:formatCode>_-[$$-409]* #,##0_ ;_-[$$-409]* \-#,##0\ ;_-[$$-409]* "-"_ ;_-@_ </c:formatCode>
                <c:ptCount val="28"/>
                <c:pt idx="0">
                  <c:v>30000000</c:v>
                </c:pt>
                <c:pt idx="1">
                  <c:v>120000000</c:v>
                </c:pt>
                <c:pt idx="2">
                  <c:v>90000000</c:v>
                </c:pt>
                <c:pt idx="3">
                  <c:v>115000000</c:v>
                </c:pt>
                <c:pt idx="4">
                  <c:v>94000000</c:v>
                </c:pt>
                <c:pt idx="5">
                  <c:v>92000000</c:v>
                </c:pt>
                <c:pt idx="6">
                  <c:v>120000000</c:v>
                </c:pt>
                <c:pt idx="7">
                  <c:v>150000000</c:v>
                </c:pt>
                <c:pt idx="8">
                  <c:v>180000000</c:v>
                </c:pt>
                <c:pt idx="9">
                  <c:v>175000000</c:v>
                </c:pt>
                <c:pt idx="10">
                  <c:v>200000000</c:v>
                </c:pt>
                <c:pt idx="11">
                  <c:v>200000000</c:v>
                </c:pt>
                <c:pt idx="12">
                  <c:v>185000000</c:v>
                </c:pt>
                <c:pt idx="13">
                  <c:v>200000000</c:v>
                </c:pt>
                <c:pt idx="14">
                  <c:v>175000000</c:v>
                </c:pt>
                <c:pt idx="15">
                  <c:v>175000000</c:v>
                </c:pt>
                <c:pt idx="16">
                  <c:v>200000000</c:v>
                </c:pt>
                <c:pt idx="17">
                  <c:v>175000000</c:v>
                </c:pt>
                <c:pt idx="18">
                  <c:v>175000000</c:v>
                </c:pt>
                <c:pt idx="19">
                  <c:v>200000000</c:v>
                </c:pt>
                <c:pt idx="20">
                  <c:v>200000000</c:v>
                </c:pt>
                <c:pt idx="21">
                  <c:v>175000000</c:v>
                </c:pt>
                <c:pt idx="22">
                  <c:v>150000000</c:v>
                </c:pt>
                <c:pt idx="23">
                  <c:v>175000000</c:v>
                </c:pt>
                <c:pt idx="24">
                  <c:v>175000000</c:v>
                </c:pt>
                <c:pt idx="25">
                  <c:v>200000000</c:v>
                </c:pt>
                <c:pt idx="26">
                  <c:v>200000000</c:v>
                </c:pt>
                <c:pt idx="27">
                  <c:v>200000000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5-4E4E-8AAC-89407C0E8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592687"/>
        <c:axId val="1947572047"/>
      </c:lineChart>
      <c:dateAx>
        <c:axId val="1947592687"/>
        <c:scaling>
          <c:orientation val="minMax"/>
          <c:max val="458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3219340551181105"/>
              <c:y val="0.9193372012708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'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72047"/>
        <c:crosses val="autoZero"/>
        <c:auto val="0"/>
        <c:lblOffset val="100"/>
        <c:baseTimeUnit val="months"/>
        <c:majorUnit val="1"/>
        <c:majorTimeUnit val="years"/>
      </c:dateAx>
      <c:valAx>
        <c:axId val="194757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Bduget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9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Global Box Office Sales Per Film, over the Years</a:t>
            </a:r>
          </a:p>
        </c:rich>
      </c:tx>
      <c:layout>
        <c:manualLayout>
          <c:xMode val="edge"/>
          <c:yMode val="edge"/>
          <c:x val="0.33053672938726858"/>
          <c:y val="3.3951964175321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34553251266127"/>
          <c:y val="0.15857411014891329"/>
          <c:w val="0.77593911089752277"/>
          <c:h val="0.65747700655065178"/>
        </c:manualLayout>
      </c:layout>
      <c:lineChart>
        <c:grouping val="standard"/>
        <c:varyColors val="0"/>
        <c:ser>
          <c:idx val="0"/>
          <c:order val="0"/>
          <c:spPr>
            <a:ln w="28575" cap="sq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Data!$B$3:$B$30</c:f>
              <c:numCache>
                <c:formatCode>m/d/yyyy</c:formatCode>
                <c:ptCount val="28"/>
                <c:pt idx="0">
                  <c:v>35025</c:v>
                </c:pt>
                <c:pt idx="1">
                  <c:v>36124</c:v>
                </c:pt>
                <c:pt idx="2">
                  <c:v>36488</c:v>
                </c:pt>
                <c:pt idx="3">
                  <c:v>37197</c:v>
                </c:pt>
                <c:pt idx="4">
                  <c:v>37771</c:v>
                </c:pt>
                <c:pt idx="5">
                  <c:v>38296</c:v>
                </c:pt>
                <c:pt idx="6">
                  <c:v>38877</c:v>
                </c:pt>
                <c:pt idx="7">
                  <c:v>39262</c:v>
                </c:pt>
                <c:pt idx="8">
                  <c:v>39626</c:v>
                </c:pt>
                <c:pt idx="9">
                  <c:v>39962</c:v>
                </c:pt>
                <c:pt idx="10">
                  <c:v>40347</c:v>
                </c:pt>
                <c:pt idx="11">
                  <c:v>40718</c:v>
                </c:pt>
                <c:pt idx="12">
                  <c:v>41082</c:v>
                </c:pt>
                <c:pt idx="13">
                  <c:v>41446</c:v>
                </c:pt>
                <c:pt idx="14">
                  <c:v>42174</c:v>
                </c:pt>
                <c:pt idx="15">
                  <c:v>42333</c:v>
                </c:pt>
                <c:pt idx="16">
                  <c:v>42538</c:v>
                </c:pt>
                <c:pt idx="17">
                  <c:v>42902</c:v>
                </c:pt>
                <c:pt idx="18">
                  <c:v>43061</c:v>
                </c:pt>
                <c:pt idx="19">
                  <c:v>43266</c:v>
                </c:pt>
                <c:pt idx="20">
                  <c:v>43637</c:v>
                </c:pt>
                <c:pt idx="21">
                  <c:v>43896</c:v>
                </c:pt>
                <c:pt idx="22">
                  <c:v>44190</c:v>
                </c:pt>
                <c:pt idx="23">
                  <c:v>44365</c:v>
                </c:pt>
                <c:pt idx="24">
                  <c:v>44631</c:v>
                </c:pt>
                <c:pt idx="25">
                  <c:v>44729</c:v>
                </c:pt>
                <c:pt idx="26">
                  <c:v>45093</c:v>
                </c:pt>
                <c:pt idx="27">
                  <c:v>45457</c:v>
                </c:pt>
              </c:numCache>
            </c:numRef>
          </c:cat>
          <c:val>
            <c:numRef>
              <c:f>Data!$P$3:$P$30</c:f>
              <c:numCache>
                <c:formatCode>_-[$$-409]* #,##0_ ;_-[$$-409]* \-#,##0\ ;_-[$$-409]* "-"_ ;_-@_ </c:formatCode>
                <c:ptCount val="28"/>
                <c:pt idx="0">
                  <c:v>394436586</c:v>
                </c:pt>
                <c:pt idx="1">
                  <c:v>363258859</c:v>
                </c:pt>
                <c:pt idx="2">
                  <c:v>511358276</c:v>
                </c:pt>
                <c:pt idx="3">
                  <c:v>528773250</c:v>
                </c:pt>
                <c:pt idx="4">
                  <c:v>871014978</c:v>
                </c:pt>
                <c:pt idx="5">
                  <c:v>631442092</c:v>
                </c:pt>
                <c:pt idx="6">
                  <c:v>461983149</c:v>
                </c:pt>
                <c:pt idx="7">
                  <c:v>623726085</c:v>
                </c:pt>
                <c:pt idx="8">
                  <c:v>521311860</c:v>
                </c:pt>
                <c:pt idx="9">
                  <c:v>735099082</c:v>
                </c:pt>
                <c:pt idx="10">
                  <c:v>1066969703</c:v>
                </c:pt>
                <c:pt idx="11">
                  <c:v>559852396</c:v>
                </c:pt>
                <c:pt idx="12">
                  <c:v>538983207</c:v>
                </c:pt>
                <c:pt idx="13">
                  <c:v>743559607</c:v>
                </c:pt>
                <c:pt idx="14">
                  <c:v>857611174</c:v>
                </c:pt>
                <c:pt idx="15">
                  <c:v>332207671</c:v>
                </c:pt>
                <c:pt idx="16">
                  <c:v>1028570889</c:v>
                </c:pt>
                <c:pt idx="17">
                  <c:v>383930656</c:v>
                </c:pt>
                <c:pt idx="18">
                  <c:v>814641172</c:v>
                </c:pt>
                <c:pt idx="19">
                  <c:v>1242805359</c:v>
                </c:pt>
                <c:pt idx="20">
                  <c:v>1073394593</c:v>
                </c:pt>
                <c:pt idx="21">
                  <c:v>141940042</c:v>
                </c:pt>
                <c:pt idx="22">
                  <c:v>121903885</c:v>
                </c:pt>
                <c:pt idx="23">
                  <c:v>51112314</c:v>
                </c:pt>
                <c:pt idx="24">
                  <c:v>21813358</c:v>
                </c:pt>
                <c:pt idx="25">
                  <c:v>226425420</c:v>
                </c:pt>
                <c:pt idx="26">
                  <c:v>496444308</c:v>
                </c:pt>
                <c:pt idx="27">
                  <c:v>1698030965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9-4CA0-AAA3-D630D7C74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527775"/>
        <c:axId val="1960532575"/>
      </c:lineChart>
      <c:dateAx>
        <c:axId val="1960527775"/>
        <c:scaling>
          <c:orientation val="minMax"/>
          <c:max val="458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4205338694365335"/>
              <c:y val="0.91450434504510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'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32575"/>
        <c:crosses val="autoZero"/>
        <c:auto val="1"/>
        <c:lblOffset val="100"/>
        <c:baseTimeUnit val="months"/>
        <c:majorUnit val="1"/>
        <c:majorTimeUnit val="years"/>
      </c:dateAx>
      <c:valAx>
        <c:axId val="19605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Global Box Office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2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Relationship between Film Duration and </a:t>
            </a:r>
          </a:p>
          <a:p>
            <a:pPr>
              <a:defRPr/>
            </a:pPr>
            <a:r>
              <a:rPr lang="en-GB"/>
              <a:t>Global Box Office Sales - No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Data!$P$3:$P$30</c:f>
              <c:numCache>
                <c:formatCode>_-[$$-409]* #,##0_ ;_-[$$-409]* \-#,##0\ ;_-[$$-409]* "-"_ ;_-@_ </c:formatCode>
                <c:ptCount val="28"/>
                <c:pt idx="0">
                  <c:v>394436586</c:v>
                </c:pt>
                <c:pt idx="1">
                  <c:v>363258859</c:v>
                </c:pt>
                <c:pt idx="2">
                  <c:v>511358276</c:v>
                </c:pt>
                <c:pt idx="3">
                  <c:v>528773250</c:v>
                </c:pt>
                <c:pt idx="4">
                  <c:v>871014978</c:v>
                </c:pt>
                <c:pt idx="5">
                  <c:v>631442092</c:v>
                </c:pt>
                <c:pt idx="6">
                  <c:v>461983149</c:v>
                </c:pt>
                <c:pt idx="7">
                  <c:v>623726085</c:v>
                </c:pt>
                <c:pt idx="8">
                  <c:v>521311860</c:v>
                </c:pt>
                <c:pt idx="9">
                  <c:v>735099082</c:v>
                </c:pt>
                <c:pt idx="10">
                  <c:v>1066969703</c:v>
                </c:pt>
                <c:pt idx="11">
                  <c:v>559852396</c:v>
                </c:pt>
                <c:pt idx="12">
                  <c:v>538983207</c:v>
                </c:pt>
                <c:pt idx="13">
                  <c:v>743559607</c:v>
                </c:pt>
                <c:pt idx="14">
                  <c:v>857611174</c:v>
                </c:pt>
                <c:pt idx="15">
                  <c:v>332207671</c:v>
                </c:pt>
                <c:pt idx="16">
                  <c:v>1028570889</c:v>
                </c:pt>
                <c:pt idx="17">
                  <c:v>383930656</c:v>
                </c:pt>
                <c:pt idx="18">
                  <c:v>814641172</c:v>
                </c:pt>
                <c:pt idx="19">
                  <c:v>1242805359</c:v>
                </c:pt>
                <c:pt idx="20">
                  <c:v>1073394593</c:v>
                </c:pt>
                <c:pt idx="21">
                  <c:v>141940042</c:v>
                </c:pt>
                <c:pt idx="22">
                  <c:v>121903885</c:v>
                </c:pt>
                <c:pt idx="23">
                  <c:v>51112314</c:v>
                </c:pt>
                <c:pt idx="24">
                  <c:v>21813358</c:v>
                </c:pt>
                <c:pt idx="25">
                  <c:v>226425420</c:v>
                </c:pt>
                <c:pt idx="26">
                  <c:v>496444308</c:v>
                </c:pt>
                <c:pt idx="27">
                  <c:v>1698030965</c:v>
                </c:pt>
              </c:numCache>
            </c:numRef>
          </c:xVal>
          <c:yVal>
            <c:numRef>
              <c:f>Data!$I$3:$I$30</c:f>
              <c:numCache>
                <c:formatCode>General</c:formatCode>
                <c:ptCount val="28"/>
                <c:pt idx="0">
                  <c:v>81</c:v>
                </c:pt>
                <c:pt idx="1">
                  <c:v>95</c:v>
                </c:pt>
                <c:pt idx="2">
                  <c:v>92</c:v>
                </c:pt>
                <c:pt idx="3">
                  <c:v>92</c:v>
                </c:pt>
                <c:pt idx="4">
                  <c:v>100</c:v>
                </c:pt>
                <c:pt idx="5">
                  <c:v>115</c:v>
                </c:pt>
                <c:pt idx="6">
                  <c:v>116</c:v>
                </c:pt>
                <c:pt idx="7">
                  <c:v>111</c:v>
                </c:pt>
                <c:pt idx="8">
                  <c:v>98</c:v>
                </c:pt>
                <c:pt idx="9">
                  <c:v>96</c:v>
                </c:pt>
                <c:pt idx="10">
                  <c:v>103</c:v>
                </c:pt>
                <c:pt idx="11">
                  <c:v>106</c:v>
                </c:pt>
                <c:pt idx="12">
                  <c:v>93</c:v>
                </c:pt>
                <c:pt idx="13">
                  <c:v>104</c:v>
                </c:pt>
                <c:pt idx="14">
                  <c:v>95</c:v>
                </c:pt>
                <c:pt idx="15">
                  <c:v>93</c:v>
                </c:pt>
                <c:pt idx="16">
                  <c:v>97</c:v>
                </c:pt>
                <c:pt idx="17">
                  <c:v>102</c:v>
                </c:pt>
                <c:pt idx="18">
                  <c:v>105</c:v>
                </c:pt>
                <c:pt idx="19">
                  <c:v>118</c:v>
                </c:pt>
                <c:pt idx="20">
                  <c:v>100</c:v>
                </c:pt>
                <c:pt idx="21">
                  <c:v>102</c:v>
                </c:pt>
                <c:pt idx="22">
                  <c:v>100</c:v>
                </c:pt>
                <c:pt idx="23">
                  <c:v>95</c:v>
                </c:pt>
                <c:pt idx="24">
                  <c:v>100</c:v>
                </c:pt>
                <c:pt idx="25">
                  <c:v>105</c:v>
                </c:pt>
                <c:pt idx="26">
                  <c:v>101</c:v>
                </c:pt>
                <c:pt idx="27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3-49AC-810F-AB94A5D25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565695"/>
        <c:axId val="1960592575"/>
      </c:scatterChart>
      <c:valAx>
        <c:axId val="196056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Worldwide Box Office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92575"/>
        <c:crosses val="autoZero"/>
        <c:crossBetween val="midCat"/>
      </c:valAx>
      <c:valAx>
        <c:axId val="196059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Film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6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Relationship between Budget &amp; Global Box Office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flat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Data!$M$3:$M$30</c:f>
              <c:numCache>
                <c:formatCode>_-[$$-409]* #,##0_ ;_-[$$-409]* \-#,##0\ ;_-[$$-409]* "-"_ ;_-@_ </c:formatCode>
                <c:ptCount val="28"/>
                <c:pt idx="0">
                  <c:v>30000000</c:v>
                </c:pt>
                <c:pt idx="1">
                  <c:v>120000000</c:v>
                </c:pt>
                <c:pt idx="2">
                  <c:v>90000000</c:v>
                </c:pt>
                <c:pt idx="3">
                  <c:v>115000000</c:v>
                </c:pt>
                <c:pt idx="4">
                  <c:v>94000000</c:v>
                </c:pt>
                <c:pt idx="5">
                  <c:v>92000000</c:v>
                </c:pt>
                <c:pt idx="6">
                  <c:v>120000000</c:v>
                </c:pt>
                <c:pt idx="7">
                  <c:v>150000000</c:v>
                </c:pt>
                <c:pt idx="8">
                  <c:v>180000000</c:v>
                </c:pt>
                <c:pt idx="9">
                  <c:v>175000000</c:v>
                </c:pt>
                <c:pt idx="10">
                  <c:v>200000000</c:v>
                </c:pt>
                <c:pt idx="11">
                  <c:v>200000000</c:v>
                </c:pt>
                <c:pt idx="12">
                  <c:v>185000000</c:v>
                </c:pt>
                <c:pt idx="13">
                  <c:v>200000000</c:v>
                </c:pt>
                <c:pt idx="14">
                  <c:v>175000000</c:v>
                </c:pt>
                <c:pt idx="15">
                  <c:v>175000000</c:v>
                </c:pt>
                <c:pt idx="16">
                  <c:v>200000000</c:v>
                </c:pt>
                <c:pt idx="17">
                  <c:v>175000000</c:v>
                </c:pt>
                <c:pt idx="18">
                  <c:v>175000000</c:v>
                </c:pt>
                <c:pt idx="19">
                  <c:v>200000000</c:v>
                </c:pt>
                <c:pt idx="20">
                  <c:v>200000000</c:v>
                </c:pt>
                <c:pt idx="21">
                  <c:v>175000000</c:v>
                </c:pt>
                <c:pt idx="22">
                  <c:v>150000000</c:v>
                </c:pt>
                <c:pt idx="23">
                  <c:v>175000000</c:v>
                </c:pt>
                <c:pt idx="24">
                  <c:v>175000000</c:v>
                </c:pt>
                <c:pt idx="25">
                  <c:v>200000000</c:v>
                </c:pt>
                <c:pt idx="26">
                  <c:v>200000000</c:v>
                </c:pt>
                <c:pt idx="27">
                  <c:v>200000000</c:v>
                </c:pt>
              </c:numCache>
            </c:numRef>
          </c:xVal>
          <c:yVal>
            <c:numRef>
              <c:f>Data!$P$3:$P$30</c:f>
              <c:numCache>
                <c:formatCode>_-[$$-409]* #,##0_ ;_-[$$-409]* \-#,##0\ ;_-[$$-409]* "-"_ ;_-@_ </c:formatCode>
                <c:ptCount val="28"/>
                <c:pt idx="0">
                  <c:v>394436586</c:v>
                </c:pt>
                <c:pt idx="1">
                  <c:v>363258859</c:v>
                </c:pt>
                <c:pt idx="2">
                  <c:v>511358276</c:v>
                </c:pt>
                <c:pt idx="3">
                  <c:v>528773250</c:v>
                </c:pt>
                <c:pt idx="4">
                  <c:v>871014978</c:v>
                </c:pt>
                <c:pt idx="5">
                  <c:v>631442092</c:v>
                </c:pt>
                <c:pt idx="6">
                  <c:v>461983149</c:v>
                </c:pt>
                <c:pt idx="7">
                  <c:v>623726085</c:v>
                </c:pt>
                <c:pt idx="8">
                  <c:v>521311860</c:v>
                </c:pt>
                <c:pt idx="9">
                  <c:v>735099082</c:v>
                </c:pt>
                <c:pt idx="10">
                  <c:v>1066969703</c:v>
                </c:pt>
                <c:pt idx="11">
                  <c:v>559852396</c:v>
                </c:pt>
                <c:pt idx="12">
                  <c:v>538983207</c:v>
                </c:pt>
                <c:pt idx="13">
                  <c:v>743559607</c:v>
                </c:pt>
                <c:pt idx="14">
                  <c:v>857611174</c:v>
                </c:pt>
                <c:pt idx="15">
                  <c:v>332207671</c:v>
                </c:pt>
                <c:pt idx="16">
                  <c:v>1028570889</c:v>
                </c:pt>
                <c:pt idx="17">
                  <c:v>383930656</c:v>
                </c:pt>
                <c:pt idx="18">
                  <c:v>814641172</c:v>
                </c:pt>
                <c:pt idx="19">
                  <c:v>1242805359</c:v>
                </c:pt>
                <c:pt idx="20">
                  <c:v>1073394593</c:v>
                </c:pt>
                <c:pt idx="21">
                  <c:v>141940042</c:v>
                </c:pt>
                <c:pt idx="22">
                  <c:v>121903885</c:v>
                </c:pt>
                <c:pt idx="23">
                  <c:v>51112314</c:v>
                </c:pt>
                <c:pt idx="24">
                  <c:v>21813358</c:v>
                </c:pt>
                <c:pt idx="25">
                  <c:v>226425420</c:v>
                </c:pt>
                <c:pt idx="26">
                  <c:v>496444308</c:v>
                </c:pt>
                <c:pt idx="27">
                  <c:v>1698030965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0B-49C8-9F8F-9206C5F75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507135"/>
        <c:axId val="1960509535"/>
      </c:scatterChart>
      <c:valAx>
        <c:axId val="196050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09535"/>
        <c:crosses val="autoZero"/>
        <c:crossBetween val="midCat"/>
      </c:valAx>
      <c:valAx>
        <c:axId val="196050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Global Box Office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0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Film, over the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59532668681858"/>
          <c:y val="9.7272488853920799E-2"/>
          <c:w val="0.76633088028940177"/>
          <c:h val="0.74790410934755613"/>
        </c:manualLayout>
      </c:layout>
      <c:lineChart>
        <c:grouping val="standard"/>
        <c:varyColors val="0"/>
        <c:ser>
          <c:idx val="0"/>
          <c:order val="0"/>
          <c:tx>
            <c:v>Profit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Data!$B$3:$B$30</c:f>
              <c:numCache>
                <c:formatCode>m/d/yyyy</c:formatCode>
                <c:ptCount val="28"/>
                <c:pt idx="0">
                  <c:v>35025</c:v>
                </c:pt>
                <c:pt idx="1">
                  <c:v>36124</c:v>
                </c:pt>
                <c:pt idx="2">
                  <c:v>36488</c:v>
                </c:pt>
                <c:pt idx="3">
                  <c:v>37197</c:v>
                </c:pt>
                <c:pt idx="4">
                  <c:v>37771</c:v>
                </c:pt>
                <c:pt idx="5">
                  <c:v>38296</c:v>
                </c:pt>
                <c:pt idx="6">
                  <c:v>38877</c:v>
                </c:pt>
                <c:pt idx="7">
                  <c:v>39262</c:v>
                </c:pt>
                <c:pt idx="8">
                  <c:v>39626</c:v>
                </c:pt>
                <c:pt idx="9">
                  <c:v>39962</c:v>
                </c:pt>
                <c:pt idx="10">
                  <c:v>40347</c:v>
                </c:pt>
                <c:pt idx="11">
                  <c:v>40718</c:v>
                </c:pt>
                <c:pt idx="12">
                  <c:v>41082</c:v>
                </c:pt>
                <c:pt idx="13">
                  <c:v>41446</c:v>
                </c:pt>
                <c:pt idx="14">
                  <c:v>42174</c:v>
                </c:pt>
                <c:pt idx="15">
                  <c:v>42333</c:v>
                </c:pt>
                <c:pt idx="16">
                  <c:v>42538</c:v>
                </c:pt>
                <c:pt idx="17">
                  <c:v>42902</c:v>
                </c:pt>
                <c:pt idx="18">
                  <c:v>43061</c:v>
                </c:pt>
                <c:pt idx="19">
                  <c:v>43266</c:v>
                </c:pt>
                <c:pt idx="20">
                  <c:v>43637</c:v>
                </c:pt>
                <c:pt idx="21">
                  <c:v>43896</c:v>
                </c:pt>
                <c:pt idx="22">
                  <c:v>44190</c:v>
                </c:pt>
                <c:pt idx="23">
                  <c:v>44365</c:v>
                </c:pt>
                <c:pt idx="24">
                  <c:v>44631</c:v>
                </c:pt>
                <c:pt idx="25">
                  <c:v>44729</c:v>
                </c:pt>
                <c:pt idx="26">
                  <c:v>45093</c:v>
                </c:pt>
                <c:pt idx="27">
                  <c:v>45457</c:v>
                </c:pt>
              </c:numCache>
            </c:numRef>
          </c:cat>
          <c:val>
            <c:numRef>
              <c:f>Data!$R$3:$R$30</c:f>
              <c:numCache>
                <c:formatCode>_-[$$-409]* #,##0_ ;_-[$$-409]* \-#,##0\ ;_-[$$-409]* "-"_ ;_-@_ </c:formatCode>
                <c:ptCount val="28"/>
                <c:pt idx="0">
                  <c:v>364436586</c:v>
                </c:pt>
                <c:pt idx="1">
                  <c:v>243258859</c:v>
                </c:pt>
                <c:pt idx="2">
                  <c:v>421358276</c:v>
                </c:pt>
                <c:pt idx="3">
                  <c:v>413773250</c:v>
                </c:pt>
                <c:pt idx="4">
                  <c:v>777014978</c:v>
                </c:pt>
                <c:pt idx="5">
                  <c:v>539442092</c:v>
                </c:pt>
                <c:pt idx="6">
                  <c:v>341983149</c:v>
                </c:pt>
                <c:pt idx="7">
                  <c:v>473726085</c:v>
                </c:pt>
                <c:pt idx="8">
                  <c:v>341311860</c:v>
                </c:pt>
                <c:pt idx="9">
                  <c:v>560099082</c:v>
                </c:pt>
                <c:pt idx="10">
                  <c:v>866969703</c:v>
                </c:pt>
                <c:pt idx="11">
                  <c:v>359852396</c:v>
                </c:pt>
                <c:pt idx="12">
                  <c:v>353983207</c:v>
                </c:pt>
                <c:pt idx="13">
                  <c:v>543559607</c:v>
                </c:pt>
                <c:pt idx="14">
                  <c:v>682611174</c:v>
                </c:pt>
                <c:pt idx="15">
                  <c:v>157207671</c:v>
                </c:pt>
                <c:pt idx="16">
                  <c:v>828570889</c:v>
                </c:pt>
                <c:pt idx="17">
                  <c:v>208930656</c:v>
                </c:pt>
                <c:pt idx="18">
                  <c:v>639641172</c:v>
                </c:pt>
                <c:pt idx="19">
                  <c:v>1042805359</c:v>
                </c:pt>
                <c:pt idx="20">
                  <c:v>873394593</c:v>
                </c:pt>
                <c:pt idx="21">
                  <c:v>-33059958</c:v>
                </c:pt>
                <c:pt idx="22">
                  <c:v>-28096115</c:v>
                </c:pt>
                <c:pt idx="23">
                  <c:v>-123887686</c:v>
                </c:pt>
                <c:pt idx="24">
                  <c:v>-153186642</c:v>
                </c:pt>
                <c:pt idx="25">
                  <c:v>26425420</c:v>
                </c:pt>
                <c:pt idx="26">
                  <c:v>296444308</c:v>
                </c:pt>
                <c:pt idx="27">
                  <c:v>1498030965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8-483C-BDB9-F96B3600D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574335"/>
        <c:axId val="1960587295"/>
      </c:lineChart>
      <c:dateAx>
        <c:axId val="1960574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'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87295"/>
        <c:crosses val="autoZero"/>
        <c:auto val="0"/>
        <c:lblOffset val="100"/>
        <c:baseTimeUnit val="years"/>
        <c:majorUnit val="1"/>
        <c:majorTimeUnit val="years"/>
      </c:dateAx>
      <c:valAx>
        <c:axId val="196058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7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Global Box Office Sales vs </a:t>
            </a:r>
          </a:p>
          <a:p>
            <a:pPr>
              <a:defRPr/>
            </a:pPr>
            <a:r>
              <a:rPr lang="en-GB"/>
              <a:t>Rotten Tomatoes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735951455265956"/>
          <c:y val="0.19844367770563015"/>
          <c:w val="0.68449431788940818"/>
          <c:h val="0.6277464657189810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Data!$X$3:$X$30</c:f>
              <c:numCache>
                <c:formatCode>General</c:formatCode>
                <c:ptCount val="28"/>
                <c:pt idx="0">
                  <c:v>100</c:v>
                </c:pt>
                <c:pt idx="1">
                  <c:v>92</c:v>
                </c:pt>
                <c:pt idx="2">
                  <c:v>100</c:v>
                </c:pt>
                <c:pt idx="3">
                  <c:v>96</c:v>
                </c:pt>
                <c:pt idx="4">
                  <c:v>99</c:v>
                </c:pt>
                <c:pt idx="5">
                  <c:v>97</c:v>
                </c:pt>
                <c:pt idx="6">
                  <c:v>75</c:v>
                </c:pt>
                <c:pt idx="7">
                  <c:v>96</c:v>
                </c:pt>
                <c:pt idx="8">
                  <c:v>95</c:v>
                </c:pt>
                <c:pt idx="9">
                  <c:v>98</c:v>
                </c:pt>
                <c:pt idx="10">
                  <c:v>98</c:v>
                </c:pt>
                <c:pt idx="11">
                  <c:v>40</c:v>
                </c:pt>
                <c:pt idx="12">
                  <c:v>79</c:v>
                </c:pt>
                <c:pt idx="13">
                  <c:v>80</c:v>
                </c:pt>
                <c:pt idx="14">
                  <c:v>98</c:v>
                </c:pt>
                <c:pt idx="15">
                  <c:v>75</c:v>
                </c:pt>
                <c:pt idx="16">
                  <c:v>94</c:v>
                </c:pt>
                <c:pt idx="17">
                  <c:v>69</c:v>
                </c:pt>
                <c:pt idx="18">
                  <c:v>97</c:v>
                </c:pt>
                <c:pt idx="19">
                  <c:v>93</c:v>
                </c:pt>
                <c:pt idx="20">
                  <c:v>97</c:v>
                </c:pt>
                <c:pt idx="21">
                  <c:v>88</c:v>
                </c:pt>
                <c:pt idx="22">
                  <c:v>95</c:v>
                </c:pt>
                <c:pt idx="23">
                  <c:v>91</c:v>
                </c:pt>
                <c:pt idx="24">
                  <c:v>95</c:v>
                </c:pt>
                <c:pt idx="25">
                  <c:v>74</c:v>
                </c:pt>
                <c:pt idx="26">
                  <c:v>73</c:v>
                </c:pt>
                <c:pt idx="27">
                  <c:v>90</c:v>
                </c:pt>
              </c:numCache>
            </c:numRef>
          </c:xVal>
          <c:yVal>
            <c:numRef>
              <c:f>Data!$P$3:$P$30</c:f>
              <c:numCache>
                <c:formatCode>_-[$$-409]* #,##0_ ;_-[$$-409]* \-#,##0\ ;_-[$$-409]* "-"_ ;_-@_ </c:formatCode>
                <c:ptCount val="28"/>
                <c:pt idx="0">
                  <c:v>394436586</c:v>
                </c:pt>
                <c:pt idx="1">
                  <c:v>363258859</c:v>
                </c:pt>
                <c:pt idx="2">
                  <c:v>511358276</c:v>
                </c:pt>
                <c:pt idx="3">
                  <c:v>528773250</c:v>
                </c:pt>
                <c:pt idx="4">
                  <c:v>871014978</c:v>
                </c:pt>
                <c:pt idx="5">
                  <c:v>631442092</c:v>
                </c:pt>
                <c:pt idx="6">
                  <c:v>461983149</c:v>
                </c:pt>
                <c:pt idx="7">
                  <c:v>623726085</c:v>
                </c:pt>
                <c:pt idx="8">
                  <c:v>521311860</c:v>
                </c:pt>
                <c:pt idx="9">
                  <c:v>735099082</c:v>
                </c:pt>
                <c:pt idx="10">
                  <c:v>1066969703</c:v>
                </c:pt>
                <c:pt idx="11">
                  <c:v>559852396</c:v>
                </c:pt>
                <c:pt idx="12">
                  <c:v>538983207</c:v>
                </c:pt>
                <c:pt idx="13">
                  <c:v>743559607</c:v>
                </c:pt>
                <c:pt idx="14">
                  <c:v>857611174</c:v>
                </c:pt>
                <c:pt idx="15">
                  <c:v>332207671</c:v>
                </c:pt>
                <c:pt idx="16">
                  <c:v>1028570889</c:v>
                </c:pt>
                <c:pt idx="17">
                  <c:v>383930656</c:v>
                </c:pt>
                <c:pt idx="18">
                  <c:v>814641172</c:v>
                </c:pt>
                <c:pt idx="19">
                  <c:v>1242805359</c:v>
                </c:pt>
                <c:pt idx="20">
                  <c:v>1073394593</c:v>
                </c:pt>
                <c:pt idx="21">
                  <c:v>141940042</c:v>
                </c:pt>
                <c:pt idx="22">
                  <c:v>121903885</c:v>
                </c:pt>
                <c:pt idx="23">
                  <c:v>51112314</c:v>
                </c:pt>
                <c:pt idx="24">
                  <c:v>21813358</c:v>
                </c:pt>
                <c:pt idx="25">
                  <c:v>226425420</c:v>
                </c:pt>
                <c:pt idx="26">
                  <c:v>496444308</c:v>
                </c:pt>
                <c:pt idx="27">
                  <c:v>1698030965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49-4A03-A9C2-C691803D9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506655"/>
        <c:axId val="1960507135"/>
      </c:scatterChart>
      <c:valAx>
        <c:axId val="196050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Rotten Tomatoes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07135"/>
        <c:crosses val="autoZero"/>
        <c:crossBetween val="midCat"/>
      </c:valAx>
      <c:valAx>
        <c:axId val="19605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Global Box Office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50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 b="0"/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Global Box Office Sales vs </a:t>
            </a:r>
          </a:p>
          <a:p>
            <a:pPr>
              <a:defRPr sz="1400" b="0"/>
            </a:pPr>
            <a:r>
              <a:rPr lang="en-GB" sz="1400" b="0"/>
              <a:t>MetaCritic Score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528790670362669"/>
          <c:y val="0.19198185711509796"/>
          <c:w val="0.67411239937487233"/>
          <c:h val="0.6436586085419521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xVal>
            <c:numRef>
              <c:f>Data!$Z$3:$Z$30</c:f>
              <c:numCache>
                <c:formatCode>General</c:formatCode>
                <c:ptCount val="28"/>
                <c:pt idx="0">
                  <c:v>95</c:v>
                </c:pt>
                <c:pt idx="1">
                  <c:v>78</c:v>
                </c:pt>
                <c:pt idx="2">
                  <c:v>88</c:v>
                </c:pt>
                <c:pt idx="3">
                  <c:v>79</c:v>
                </c:pt>
                <c:pt idx="4">
                  <c:v>90</c:v>
                </c:pt>
                <c:pt idx="5">
                  <c:v>90</c:v>
                </c:pt>
                <c:pt idx="6">
                  <c:v>73</c:v>
                </c:pt>
                <c:pt idx="7">
                  <c:v>96</c:v>
                </c:pt>
                <c:pt idx="8">
                  <c:v>95</c:v>
                </c:pt>
                <c:pt idx="9">
                  <c:v>88</c:v>
                </c:pt>
                <c:pt idx="10">
                  <c:v>92</c:v>
                </c:pt>
                <c:pt idx="11">
                  <c:v>57</c:v>
                </c:pt>
                <c:pt idx="12">
                  <c:v>69</c:v>
                </c:pt>
                <c:pt idx="13">
                  <c:v>65</c:v>
                </c:pt>
                <c:pt idx="14">
                  <c:v>94</c:v>
                </c:pt>
                <c:pt idx="15">
                  <c:v>66</c:v>
                </c:pt>
                <c:pt idx="16">
                  <c:v>77</c:v>
                </c:pt>
                <c:pt idx="17">
                  <c:v>59</c:v>
                </c:pt>
                <c:pt idx="18">
                  <c:v>81</c:v>
                </c:pt>
                <c:pt idx="19">
                  <c:v>80</c:v>
                </c:pt>
                <c:pt idx="20">
                  <c:v>84</c:v>
                </c:pt>
                <c:pt idx="21">
                  <c:v>64</c:v>
                </c:pt>
                <c:pt idx="22">
                  <c:v>83</c:v>
                </c:pt>
                <c:pt idx="23">
                  <c:v>71</c:v>
                </c:pt>
                <c:pt idx="24">
                  <c:v>83</c:v>
                </c:pt>
                <c:pt idx="25">
                  <c:v>60</c:v>
                </c:pt>
                <c:pt idx="26">
                  <c:v>58</c:v>
                </c:pt>
                <c:pt idx="27">
                  <c:v>73</c:v>
                </c:pt>
              </c:numCache>
            </c:numRef>
          </c:xVal>
          <c:yVal>
            <c:numRef>
              <c:f>Data!$P$3:$P$30</c:f>
              <c:numCache>
                <c:formatCode>_-[$$-409]* #,##0_ ;_-[$$-409]* \-#,##0\ ;_-[$$-409]* "-"_ ;_-@_ </c:formatCode>
                <c:ptCount val="28"/>
                <c:pt idx="0">
                  <c:v>394436586</c:v>
                </c:pt>
                <c:pt idx="1">
                  <c:v>363258859</c:v>
                </c:pt>
                <c:pt idx="2">
                  <c:v>511358276</c:v>
                </c:pt>
                <c:pt idx="3">
                  <c:v>528773250</c:v>
                </c:pt>
                <c:pt idx="4">
                  <c:v>871014978</c:v>
                </c:pt>
                <c:pt idx="5">
                  <c:v>631442092</c:v>
                </c:pt>
                <c:pt idx="6">
                  <c:v>461983149</c:v>
                </c:pt>
                <c:pt idx="7">
                  <c:v>623726085</c:v>
                </c:pt>
                <c:pt idx="8">
                  <c:v>521311860</c:v>
                </c:pt>
                <c:pt idx="9">
                  <c:v>735099082</c:v>
                </c:pt>
                <c:pt idx="10">
                  <c:v>1066969703</c:v>
                </c:pt>
                <c:pt idx="11">
                  <c:v>559852396</c:v>
                </c:pt>
                <c:pt idx="12">
                  <c:v>538983207</c:v>
                </c:pt>
                <c:pt idx="13">
                  <c:v>743559607</c:v>
                </c:pt>
                <c:pt idx="14">
                  <c:v>857611174</c:v>
                </c:pt>
                <c:pt idx="15">
                  <c:v>332207671</c:v>
                </c:pt>
                <c:pt idx="16">
                  <c:v>1028570889</c:v>
                </c:pt>
                <c:pt idx="17">
                  <c:v>383930656</c:v>
                </c:pt>
                <c:pt idx="18">
                  <c:v>814641172</c:v>
                </c:pt>
                <c:pt idx="19">
                  <c:v>1242805359</c:v>
                </c:pt>
                <c:pt idx="20">
                  <c:v>1073394593</c:v>
                </c:pt>
                <c:pt idx="21">
                  <c:v>141940042</c:v>
                </c:pt>
                <c:pt idx="22">
                  <c:v>121903885</c:v>
                </c:pt>
                <c:pt idx="23">
                  <c:v>51112314</c:v>
                </c:pt>
                <c:pt idx="24">
                  <c:v>21813358</c:v>
                </c:pt>
                <c:pt idx="25">
                  <c:v>226425420</c:v>
                </c:pt>
                <c:pt idx="26">
                  <c:v>496444308</c:v>
                </c:pt>
                <c:pt idx="27">
                  <c:v>1698030965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EB-4404-9E77-E04371F7F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506655"/>
        <c:axId val="1960507135"/>
      </c:scatterChart>
      <c:valAx>
        <c:axId val="196050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GB" b="0"/>
                  <a:t>MetaCritic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60507135"/>
        <c:crosses val="autoZero"/>
        <c:crossBetween val="midCat"/>
      </c:valAx>
      <c:valAx>
        <c:axId val="19605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GB" b="0"/>
                  <a:t>Global Box Office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605066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 b="0"/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Global Box Office Sales vs </a:t>
            </a:r>
          </a:p>
          <a:p>
            <a:pPr>
              <a:defRPr sz="1400" b="0"/>
            </a:pPr>
            <a:r>
              <a:rPr lang="en-GB" sz="1400" b="0"/>
              <a:t>IMDB Score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791554802243501"/>
          <c:y val="0.22151747547998576"/>
          <c:w val="0.67586630951130788"/>
          <c:h val="0.6299729769579793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xVal>
            <c:numRef>
              <c:f>Data!$AB$3:$AB$30</c:f>
              <c:numCache>
                <c:formatCode>General</c:formatCode>
                <c:ptCount val="28"/>
                <c:pt idx="0">
                  <c:v>8.3000000000000007</c:v>
                </c:pt>
                <c:pt idx="1">
                  <c:v>7.2</c:v>
                </c:pt>
                <c:pt idx="2">
                  <c:v>7.9</c:v>
                </c:pt>
                <c:pt idx="3">
                  <c:v>8.1</c:v>
                </c:pt>
                <c:pt idx="4">
                  <c:v>8.1999999999999993</c:v>
                </c:pt>
                <c:pt idx="5">
                  <c:v>8</c:v>
                </c:pt>
                <c:pt idx="6">
                  <c:v>7.2</c:v>
                </c:pt>
                <c:pt idx="7">
                  <c:v>8.1</c:v>
                </c:pt>
                <c:pt idx="8">
                  <c:v>8.4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6.2</c:v>
                </c:pt>
                <c:pt idx="12">
                  <c:v>7.1</c:v>
                </c:pt>
                <c:pt idx="13">
                  <c:v>7.2</c:v>
                </c:pt>
                <c:pt idx="14">
                  <c:v>8.1</c:v>
                </c:pt>
                <c:pt idx="15">
                  <c:v>6.7</c:v>
                </c:pt>
                <c:pt idx="16">
                  <c:v>7.2</c:v>
                </c:pt>
                <c:pt idx="17">
                  <c:v>6.7</c:v>
                </c:pt>
                <c:pt idx="18">
                  <c:v>8.4</c:v>
                </c:pt>
                <c:pt idx="19">
                  <c:v>7.5</c:v>
                </c:pt>
                <c:pt idx="20">
                  <c:v>7.6</c:v>
                </c:pt>
                <c:pt idx="21">
                  <c:v>7.4</c:v>
                </c:pt>
                <c:pt idx="22">
                  <c:v>8</c:v>
                </c:pt>
                <c:pt idx="23">
                  <c:v>7.4</c:v>
                </c:pt>
                <c:pt idx="24">
                  <c:v>7</c:v>
                </c:pt>
                <c:pt idx="25">
                  <c:v>6.1</c:v>
                </c:pt>
                <c:pt idx="26">
                  <c:v>7</c:v>
                </c:pt>
                <c:pt idx="27">
                  <c:v>7.6</c:v>
                </c:pt>
              </c:numCache>
            </c:numRef>
          </c:xVal>
          <c:yVal>
            <c:numRef>
              <c:f>Data!$P$3:$P$30</c:f>
              <c:numCache>
                <c:formatCode>_-[$$-409]* #,##0_ ;_-[$$-409]* \-#,##0\ ;_-[$$-409]* "-"_ ;_-@_ </c:formatCode>
                <c:ptCount val="28"/>
                <c:pt idx="0">
                  <c:v>394436586</c:v>
                </c:pt>
                <c:pt idx="1">
                  <c:v>363258859</c:v>
                </c:pt>
                <c:pt idx="2">
                  <c:v>511358276</c:v>
                </c:pt>
                <c:pt idx="3">
                  <c:v>528773250</c:v>
                </c:pt>
                <c:pt idx="4">
                  <c:v>871014978</c:v>
                </c:pt>
                <c:pt idx="5">
                  <c:v>631442092</c:v>
                </c:pt>
                <c:pt idx="6">
                  <c:v>461983149</c:v>
                </c:pt>
                <c:pt idx="7">
                  <c:v>623726085</c:v>
                </c:pt>
                <c:pt idx="8">
                  <c:v>521311860</c:v>
                </c:pt>
                <c:pt idx="9">
                  <c:v>735099082</c:v>
                </c:pt>
                <c:pt idx="10">
                  <c:v>1066969703</c:v>
                </c:pt>
                <c:pt idx="11">
                  <c:v>559852396</c:v>
                </c:pt>
                <c:pt idx="12">
                  <c:v>538983207</c:v>
                </c:pt>
                <c:pt idx="13">
                  <c:v>743559607</c:v>
                </c:pt>
                <c:pt idx="14">
                  <c:v>857611174</c:v>
                </c:pt>
                <c:pt idx="15">
                  <c:v>332207671</c:v>
                </c:pt>
                <c:pt idx="16">
                  <c:v>1028570889</c:v>
                </c:pt>
                <c:pt idx="17">
                  <c:v>383930656</c:v>
                </c:pt>
                <c:pt idx="18">
                  <c:v>814641172</c:v>
                </c:pt>
                <c:pt idx="19">
                  <c:v>1242805359</c:v>
                </c:pt>
                <c:pt idx="20">
                  <c:v>1073394593</c:v>
                </c:pt>
                <c:pt idx="21">
                  <c:v>141940042</c:v>
                </c:pt>
                <c:pt idx="22">
                  <c:v>121903885</c:v>
                </c:pt>
                <c:pt idx="23">
                  <c:v>51112314</c:v>
                </c:pt>
                <c:pt idx="24">
                  <c:v>21813358</c:v>
                </c:pt>
                <c:pt idx="25">
                  <c:v>226425420</c:v>
                </c:pt>
                <c:pt idx="26">
                  <c:v>496444308</c:v>
                </c:pt>
                <c:pt idx="27">
                  <c:v>1698030965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70-495B-8D0D-1BE5C6A1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506655"/>
        <c:axId val="1960507135"/>
      </c:scatterChart>
      <c:valAx>
        <c:axId val="196050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GB" b="0"/>
                  <a:t>IMDB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60507135"/>
        <c:crosses val="autoZero"/>
        <c:crossBetween val="midCat"/>
      </c:valAx>
      <c:valAx>
        <c:axId val="19605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GB" b="0"/>
                  <a:t>Global Box Office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605066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Film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581771475245745"/>
          <c:y val="0.15288057742782152"/>
          <c:w val="0.40496527821462647"/>
          <c:h val="0.6776238517060366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D5-4010-85BC-2D09F86A91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D5-4010-85BC-2D09F86A91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Data!$J$33:$J$34</c:f>
              <c:strCache>
                <c:ptCount val="2"/>
                <c:pt idx="0">
                  <c:v>Films Rated G:</c:v>
                </c:pt>
                <c:pt idx="1">
                  <c:v>Films Rated PG:</c:v>
                </c:pt>
              </c:strCache>
            </c:strRef>
          </c:cat>
          <c:val>
            <c:numRef>
              <c:f>Data!$K$33:$K$34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D5-4010-85BC-2D09F86A9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</a:t>
            </a:r>
            <a:r>
              <a:rPr lang="en-US" baseline="0"/>
              <a:t> Academy </a:t>
            </a:r>
            <a:r>
              <a:rPr lang="en-US"/>
              <a:t>Awards Won vs Global Box Office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Data!$AE$2</c:f>
              <c:strCache>
                <c:ptCount val="1"/>
                <c:pt idx="0">
                  <c:v>Number of Awards won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Data!$P$3:$P$30</c:f>
              <c:numCache>
                <c:formatCode>_-[$$-409]* #,##0_ ;_-[$$-409]* \-#,##0\ ;_-[$$-409]* "-"_ ;_-@_ </c:formatCode>
                <c:ptCount val="28"/>
                <c:pt idx="0">
                  <c:v>394436586</c:v>
                </c:pt>
                <c:pt idx="1">
                  <c:v>363258859</c:v>
                </c:pt>
                <c:pt idx="2">
                  <c:v>511358276</c:v>
                </c:pt>
                <c:pt idx="3">
                  <c:v>528773250</c:v>
                </c:pt>
                <c:pt idx="4">
                  <c:v>871014978</c:v>
                </c:pt>
                <c:pt idx="5">
                  <c:v>631442092</c:v>
                </c:pt>
                <c:pt idx="6">
                  <c:v>461983149</c:v>
                </c:pt>
                <c:pt idx="7">
                  <c:v>623726085</c:v>
                </c:pt>
                <c:pt idx="8">
                  <c:v>521311860</c:v>
                </c:pt>
                <c:pt idx="9">
                  <c:v>735099082</c:v>
                </c:pt>
                <c:pt idx="10">
                  <c:v>1066969703</c:v>
                </c:pt>
                <c:pt idx="11">
                  <c:v>559852396</c:v>
                </c:pt>
                <c:pt idx="12">
                  <c:v>538983207</c:v>
                </c:pt>
                <c:pt idx="13">
                  <c:v>743559607</c:v>
                </c:pt>
                <c:pt idx="14">
                  <c:v>857611174</c:v>
                </c:pt>
                <c:pt idx="15">
                  <c:v>332207671</c:v>
                </c:pt>
                <c:pt idx="16">
                  <c:v>1028570889</c:v>
                </c:pt>
                <c:pt idx="17">
                  <c:v>383930656</c:v>
                </c:pt>
                <c:pt idx="18">
                  <c:v>814641172</c:v>
                </c:pt>
                <c:pt idx="19">
                  <c:v>1242805359</c:v>
                </c:pt>
                <c:pt idx="20">
                  <c:v>1073394593</c:v>
                </c:pt>
                <c:pt idx="21">
                  <c:v>141940042</c:v>
                </c:pt>
                <c:pt idx="22">
                  <c:v>121903885</c:v>
                </c:pt>
                <c:pt idx="23">
                  <c:v>51112314</c:v>
                </c:pt>
                <c:pt idx="24">
                  <c:v>21813358</c:v>
                </c:pt>
                <c:pt idx="25">
                  <c:v>226425420</c:v>
                </c:pt>
                <c:pt idx="26">
                  <c:v>496444308</c:v>
                </c:pt>
                <c:pt idx="27">
                  <c:v>1698030965</c:v>
                </c:pt>
              </c:numCache>
            </c:numRef>
          </c:xVal>
          <c:yVal>
            <c:numRef>
              <c:f>Data!$AE$3:$AE$30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FF-4BA8-AD3D-FCBF5E7E6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254880"/>
        <c:axId val="1351257280"/>
      </c:scatterChart>
      <c:valAx>
        <c:axId val="135125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Global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57280"/>
        <c:crosses val="autoZero"/>
        <c:crossBetween val="midCat"/>
      </c:valAx>
      <c:valAx>
        <c:axId val="135125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Awards Won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5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Academy</a:t>
            </a:r>
            <a:r>
              <a:rPr lang="en-US" baseline="0"/>
              <a:t> </a:t>
            </a:r>
            <a:r>
              <a:rPr lang="en-US"/>
              <a:t>Awards Won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Data!$AE$2</c:f>
              <c:strCache>
                <c:ptCount val="1"/>
                <c:pt idx="0">
                  <c:v>Number of Awards won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Data!$M$3:$M$30</c:f>
              <c:numCache>
                <c:formatCode>_-[$$-409]* #,##0_ ;_-[$$-409]* \-#,##0\ ;_-[$$-409]* "-"_ ;_-@_ </c:formatCode>
                <c:ptCount val="28"/>
                <c:pt idx="0">
                  <c:v>30000000</c:v>
                </c:pt>
                <c:pt idx="1">
                  <c:v>120000000</c:v>
                </c:pt>
                <c:pt idx="2">
                  <c:v>90000000</c:v>
                </c:pt>
                <c:pt idx="3">
                  <c:v>115000000</c:v>
                </c:pt>
                <c:pt idx="4">
                  <c:v>94000000</c:v>
                </c:pt>
                <c:pt idx="5">
                  <c:v>92000000</c:v>
                </c:pt>
                <c:pt idx="6">
                  <c:v>120000000</c:v>
                </c:pt>
                <c:pt idx="7">
                  <c:v>150000000</c:v>
                </c:pt>
                <c:pt idx="8">
                  <c:v>180000000</c:v>
                </c:pt>
                <c:pt idx="9">
                  <c:v>175000000</c:v>
                </c:pt>
                <c:pt idx="10">
                  <c:v>200000000</c:v>
                </c:pt>
                <c:pt idx="11">
                  <c:v>200000000</c:v>
                </c:pt>
                <c:pt idx="12">
                  <c:v>185000000</c:v>
                </c:pt>
                <c:pt idx="13">
                  <c:v>200000000</c:v>
                </c:pt>
                <c:pt idx="14">
                  <c:v>175000000</c:v>
                </c:pt>
                <c:pt idx="15">
                  <c:v>175000000</c:v>
                </c:pt>
                <c:pt idx="16">
                  <c:v>200000000</c:v>
                </c:pt>
                <c:pt idx="17">
                  <c:v>175000000</c:v>
                </c:pt>
                <c:pt idx="18">
                  <c:v>175000000</c:v>
                </c:pt>
                <c:pt idx="19">
                  <c:v>200000000</c:v>
                </c:pt>
                <c:pt idx="20">
                  <c:v>200000000</c:v>
                </c:pt>
                <c:pt idx="21">
                  <c:v>175000000</c:v>
                </c:pt>
                <c:pt idx="22">
                  <c:v>150000000</c:v>
                </c:pt>
                <c:pt idx="23">
                  <c:v>175000000</c:v>
                </c:pt>
                <c:pt idx="24">
                  <c:v>175000000</c:v>
                </c:pt>
                <c:pt idx="25">
                  <c:v>200000000</c:v>
                </c:pt>
                <c:pt idx="26">
                  <c:v>200000000</c:v>
                </c:pt>
                <c:pt idx="27">
                  <c:v>200000000</c:v>
                </c:pt>
              </c:numCache>
            </c:numRef>
          </c:xVal>
          <c:yVal>
            <c:numRef>
              <c:f>Data!$AE$3:$AE$30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26-4D7F-960E-15D285DA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129840"/>
        <c:axId val="985138960"/>
      </c:scatterChart>
      <c:valAx>
        <c:axId val="98512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38960"/>
        <c:crosses val="autoZero"/>
        <c:crossBetween val="midCat"/>
      </c:valAx>
      <c:valAx>
        <c:axId val="9851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Awards Won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2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Directors with Most Award Wins.  </a:t>
            </a:r>
          </a:p>
          <a:p>
            <a:pPr>
              <a:defRPr/>
            </a:pPr>
            <a:r>
              <a:rPr lang="en-GB"/>
              <a:t>Award Nominations also shown.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27412197257435"/>
          <c:y val="0.17331374653558979"/>
          <c:w val="0.86299781920041452"/>
          <c:h val="0.47999133134357513"/>
        </c:manualLayout>
      </c:layout>
      <c:barChart>
        <c:barDir val="col"/>
        <c:grouping val="clustered"/>
        <c:varyColors val="0"/>
        <c:ser>
          <c:idx val="0"/>
          <c:order val="0"/>
          <c:tx>
            <c:v>Won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'Director w most awards'!$A$2:$A$14</c:f>
              <c:strCache>
                <c:ptCount val="13"/>
                <c:pt idx="0">
                  <c:v>Lee Unkrich</c:v>
                </c:pt>
                <c:pt idx="1">
                  <c:v>Pete Docter</c:v>
                </c:pt>
                <c:pt idx="2">
                  <c:v>Brad Bird</c:v>
                </c:pt>
                <c:pt idx="3">
                  <c:v>Mark Andrews</c:v>
                </c:pt>
                <c:pt idx="4">
                  <c:v>Andrew Stanton</c:v>
                </c:pt>
                <c:pt idx="5">
                  <c:v>Bob Peterson</c:v>
                </c:pt>
                <c:pt idx="6">
                  <c:v>Kemp Powers</c:v>
                </c:pt>
                <c:pt idx="7">
                  <c:v>Adrian Molina</c:v>
                </c:pt>
                <c:pt idx="8">
                  <c:v>John Lasseter</c:v>
                </c:pt>
                <c:pt idx="9">
                  <c:v>Jan Pinkava</c:v>
                </c:pt>
                <c:pt idx="10">
                  <c:v>David Silverman</c:v>
                </c:pt>
                <c:pt idx="11">
                  <c:v>Josh Cooley</c:v>
                </c:pt>
                <c:pt idx="12">
                  <c:v>Ronnie del Carmen</c:v>
                </c:pt>
              </c:strCache>
            </c:strRef>
          </c:cat>
          <c:val>
            <c:numRef>
              <c:f>'Director w most awards'!$B$2:$B$14</c:f>
              <c:numCache>
                <c:formatCode>General</c:formatCode>
                <c:ptCount val="13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A-45CE-A79E-B710E813D75E}"/>
            </c:ext>
          </c:extLst>
        </c:ser>
        <c:ser>
          <c:idx val="1"/>
          <c:order val="1"/>
          <c:tx>
            <c:v>Nominated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'Director w most awards'!$A$2:$A$14</c:f>
              <c:strCache>
                <c:ptCount val="13"/>
                <c:pt idx="0">
                  <c:v>Lee Unkrich</c:v>
                </c:pt>
                <c:pt idx="1">
                  <c:v>Pete Docter</c:v>
                </c:pt>
                <c:pt idx="2">
                  <c:v>Brad Bird</c:v>
                </c:pt>
                <c:pt idx="3">
                  <c:v>Mark Andrews</c:v>
                </c:pt>
                <c:pt idx="4">
                  <c:v>Andrew Stanton</c:v>
                </c:pt>
                <c:pt idx="5">
                  <c:v>Bob Peterson</c:v>
                </c:pt>
                <c:pt idx="6">
                  <c:v>Kemp Powers</c:v>
                </c:pt>
                <c:pt idx="7">
                  <c:v>Adrian Molina</c:v>
                </c:pt>
                <c:pt idx="8">
                  <c:v>John Lasseter</c:v>
                </c:pt>
                <c:pt idx="9">
                  <c:v>Jan Pinkava</c:v>
                </c:pt>
                <c:pt idx="10">
                  <c:v>David Silverman</c:v>
                </c:pt>
                <c:pt idx="11">
                  <c:v>Josh Cooley</c:v>
                </c:pt>
                <c:pt idx="12">
                  <c:v>Ronnie del Carmen</c:v>
                </c:pt>
              </c:strCache>
            </c:strRef>
          </c:cat>
          <c:val>
            <c:numRef>
              <c:f>'Director w most awards'!$C$2:$C$14</c:f>
              <c:numCache>
                <c:formatCode>General</c:formatCode>
                <c:ptCount val="13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0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DA-45CE-A79E-B710E813D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251040"/>
        <c:axId val="1351252000"/>
        <c:extLst/>
      </c:barChart>
      <c:catAx>
        <c:axId val="1351251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Director</a:t>
                </a:r>
              </a:p>
            </c:rich>
          </c:tx>
          <c:layout>
            <c:manualLayout>
              <c:xMode val="edge"/>
              <c:yMode val="edge"/>
              <c:x val="0.49485489572547237"/>
              <c:y val="0.86569045118372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52000"/>
        <c:crosses val="autoZero"/>
        <c:auto val="1"/>
        <c:lblAlgn val="ctr"/>
        <c:lblOffset val="100"/>
        <c:noMultiLvlLbl val="0"/>
      </c:catAx>
      <c:valAx>
        <c:axId val="135125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Awards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5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Directors with Most</a:t>
            </a:r>
            <a:r>
              <a:rPr lang="en-GB" baseline="0"/>
              <a:t> Award Wins, Per Film.</a:t>
            </a:r>
            <a:endParaRPr lang="en-GB"/>
          </a:p>
          <a:p>
            <a:pPr>
              <a:defRPr/>
            </a:pPr>
            <a:r>
              <a:rPr lang="en-GB"/>
              <a:t>Award</a:t>
            </a:r>
            <a:r>
              <a:rPr lang="en-GB" baseline="0"/>
              <a:t> Nominations Per Film, also shown.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0834263559316552"/>
          <c:y val="0.1623875442873107"/>
          <c:w val="0.86655384157574655"/>
          <c:h val="0.46354042646506682"/>
        </c:manualLayout>
      </c:layout>
      <c:barChart>
        <c:barDir val="col"/>
        <c:grouping val="clustered"/>
        <c:varyColors val="0"/>
        <c:ser>
          <c:idx val="3"/>
          <c:order val="0"/>
          <c:tx>
            <c:v>Won</c:v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f>'Director w most awards per film'!$A$3:$A$25</c:f>
              <c:strCache>
                <c:ptCount val="13"/>
                <c:pt idx="0">
                  <c:v>Bob Peterson</c:v>
                </c:pt>
                <c:pt idx="1">
                  <c:v>Kemp Powers</c:v>
                </c:pt>
                <c:pt idx="2">
                  <c:v>Adrian Molina</c:v>
                </c:pt>
                <c:pt idx="3">
                  <c:v>Pete Docter</c:v>
                </c:pt>
                <c:pt idx="4">
                  <c:v>Lee Unkrich</c:v>
                </c:pt>
                <c:pt idx="5">
                  <c:v>Jan Pinkava</c:v>
                </c:pt>
                <c:pt idx="6">
                  <c:v>David Silverman</c:v>
                </c:pt>
                <c:pt idx="7">
                  <c:v>Brad Bird</c:v>
                </c:pt>
                <c:pt idx="8">
                  <c:v>Josh Cooley</c:v>
                </c:pt>
                <c:pt idx="9">
                  <c:v>Ronnie del Carmen</c:v>
                </c:pt>
                <c:pt idx="10">
                  <c:v>Mark Andrews</c:v>
                </c:pt>
                <c:pt idx="11">
                  <c:v>Andrew Stanton</c:v>
                </c:pt>
                <c:pt idx="12">
                  <c:v>John Lasseter</c:v>
                </c:pt>
              </c:strCache>
            </c:strRef>
          </c:cat>
          <c:val>
            <c:numRef>
              <c:f>'Director w most awards per film'!$E$3:$E$25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1.5</c:v>
                </c:pt>
                <c:pt idx="4">
                  <c:v>1.2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0.5</c:v>
                </c:pt>
                <c:pt idx="1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5-4542-B24D-1240BCB5A040}"/>
            </c:ext>
          </c:extLst>
        </c:ser>
        <c:ser>
          <c:idx val="4"/>
          <c:order val="1"/>
          <c:tx>
            <c:v>Nominated</c:v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f>'Director w most awards per film'!$A$3:$A$25</c:f>
              <c:strCache>
                <c:ptCount val="13"/>
                <c:pt idx="0">
                  <c:v>Bob Peterson</c:v>
                </c:pt>
                <c:pt idx="1">
                  <c:v>Kemp Powers</c:v>
                </c:pt>
                <c:pt idx="2">
                  <c:v>Adrian Molina</c:v>
                </c:pt>
                <c:pt idx="3">
                  <c:v>Pete Docter</c:v>
                </c:pt>
                <c:pt idx="4">
                  <c:v>Lee Unkrich</c:v>
                </c:pt>
                <c:pt idx="5">
                  <c:v>Jan Pinkava</c:v>
                </c:pt>
                <c:pt idx="6">
                  <c:v>David Silverman</c:v>
                </c:pt>
                <c:pt idx="7">
                  <c:v>Brad Bird</c:v>
                </c:pt>
                <c:pt idx="8">
                  <c:v>Josh Cooley</c:v>
                </c:pt>
                <c:pt idx="9">
                  <c:v>Ronnie del Carmen</c:v>
                </c:pt>
                <c:pt idx="10">
                  <c:v>Mark Andrews</c:v>
                </c:pt>
                <c:pt idx="11">
                  <c:v>Andrew Stanton</c:v>
                </c:pt>
                <c:pt idx="12">
                  <c:v>John Lasseter</c:v>
                </c:pt>
              </c:strCache>
            </c:strRef>
          </c:cat>
          <c:val>
            <c:numRef>
              <c:f>'Director w most awards per film'!$F$3:$F$25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2.25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 formatCode="0.00">
                  <c:v>2.3333333333333335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2.25</c:v>
                </c:pt>
                <c:pt idx="12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5-4542-B24D-1240BCB5A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242400"/>
        <c:axId val="1351242880"/>
        <c:extLst/>
      </c:barChart>
      <c:catAx>
        <c:axId val="135124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Director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42880"/>
        <c:crosses val="autoZero"/>
        <c:auto val="1"/>
        <c:lblAlgn val="ctr"/>
        <c:lblOffset val="100"/>
        <c:noMultiLvlLbl val="0"/>
      </c:catAx>
      <c:valAx>
        <c:axId val="13512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a</a:t>
                </a:r>
                <a:r>
                  <a:rPr lang="en-GB"/>
                  <a:t>wards  per film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4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Days Since Previous Release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1998331247392577E-2"/>
                  <c:y val="3.6383242087813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02-4237-9FDE-C5A826F77171}"/>
                </c:ext>
              </c:extLst>
            </c:dLbl>
            <c:dLbl>
              <c:idx val="6"/>
              <c:layout>
                <c:manualLayout>
                  <c:x val="-4.0342094284522359E-2"/>
                  <c:y val="4.6771053722162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02-4237-9FDE-C5A826F77171}"/>
                </c:ext>
              </c:extLst>
            </c:dLbl>
            <c:dLbl>
              <c:idx val="7"/>
              <c:layout>
                <c:manualLayout>
                  <c:x val="-3.1998331247392611E-2"/>
                  <c:y val="3.292063820969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02-4237-9FDE-C5A826F77171}"/>
                </c:ext>
              </c:extLst>
            </c:dLbl>
            <c:dLbl>
              <c:idx val="8"/>
              <c:layout>
                <c:manualLayout>
                  <c:x val="-1.3224864413850646E-2"/>
                  <c:y val="2.94580343315811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02-4237-9FDE-C5A826F77171}"/>
                </c:ext>
              </c:extLst>
            </c:dLbl>
            <c:dLbl>
              <c:idx val="9"/>
              <c:layout>
                <c:manualLayout>
                  <c:x val="-3.1998331247392577E-2"/>
                  <c:y val="-5.7107062621327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02-4237-9FDE-C5A826F77171}"/>
                </c:ext>
              </c:extLst>
            </c:dLbl>
            <c:dLbl>
              <c:idx val="10"/>
              <c:layout>
                <c:manualLayout>
                  <c:x val="-3.1998331247392577E-2"/>
                  <c:y val="-5.01818548650947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02-4237-9FDE-C5A826F77171}"/>
                </c:ext>
              </c:extLst>
            </c:dLbl>
            <c:dLbl>
              <c:idx val="11"/>
              <c:layout>
                <c:manualLayout>
                  <c:x val="-3.1998331247392577E-2"/>
                  <c:y val="-5.01818548650947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F02-4237-9FDE-C5A826F77171}"/>
                </c:ext>
              </c:extLst>
            </c:dLbl>
            <c:dLbl>
              <c:idx val="12"/>
              <c:layout>
                <c:manualLayout>
                  <c:x val="-2.9912390488110136E-2"/>
                  <c:y val="3.6383242087813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F02-4237-9FDE-C5A826F77171}"/>
                </c:ext>
              </c:extLst>
            </c:dLbl>
            <c:dLbl>
              <c:idx val="14"/>
              <c:layout>
                <c:manualLayout>
                  <c:x val="-3.1998331247392653E-2"/>
                  <c:y val="3.292063820969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F02-4237-9FDE-C5A826F77171}"/>
                </c:ext>
              </c:extLst>
            </c:dLbl>
            <c:dLbl>
              <c:idx val="17"/>
              <c:layout>
                <c:manualLayout>
                  <c:x val="-2.7826449728827703E-2"/>
                  <c:y val="-5.01818548650947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F02-4237-9FDE-C5A826F77171}"/>
                </c:ext>
              </c:extLst>
            </c:dLbl>
            <c:dLbl>
              <c:idx val="18"/>
              <c:layout>
                <c:manualLayout>
                  <c:x val="-2.9912390488110212E-2"/>
                  <c:y val="-5.7107062621327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F02-4237-9FDE-C5A826F77171}"/>
                </c:ext>
              </c:extLst>
            </c:dLbl>
            <c:dLbl>
              <c:idx val="24"/>
              <c:layout>
                <c:manualLayout>
                  <c:x val="-2.307050479766375E-2"/>
                  <c:y val="2.4264128514406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711305798915308E-2"/>
                      <c:h val="4.49620476803280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1F02-4237-9FDE-C5A826F771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Data!$A$4:$A$30</c:f>
              <c:strCache>
                <c:ptCount val="27"/>
                <c:pt idx="0">
                  <c:v>A Bug's Life</c:v>
                </c:pt>
                <c:pt idx="1">
                  <c:v>Toy Story 2</c:v>
                </c:pt>
                <c:pt idx="2">
                  <c:v>Monsters, Inc.</c:v>
                </c:pt>
                <c:pt idx="3">
                  <c:v>Finding Nemo</c:v>
                </c:pt>
                <c:pt idx="4">
                  <c:v>The Incredibles</c:v>
                </c:pt>
                <c:pt idx="5">
                  <c:v>Cars</c:v>
                </c:pt>
                <c:pt idx="6">
                  <c:v>Ratatouille</c:v>
                </c:pt>
                <c:pt idx="7">
                  <c:v>WALL-E</c:v>
                </c:pt>
                <c:pt idx="8">
                  <c:v>Up</c:v>
                </c:pt>
                <c:pt idx="9">
                  <c:v>Toy Story 3</c:v>
                </c:pt>
                <c:pt idx="10">
                  <c:v>Cars 2</c:v>
                </c:pt>
                <c:pt idx="11">
                  <c:v>Brave</c:v>
                </c:pt>
                <c:pt idx="12">
                  <c:v>Monsters University</c:v>
                </c:pt>
                <c:pt idx="13">
                  <c:v>Inside Out</c:v>
                </c:pt>
                <c:pt idx="14">
                  <c:v>The Good Dinosaur</c:v>
                </c:pt>
                <c:pt idx="15">
                  <c:v>Finding Dory</c:v>
                </c:pt>
                <c:pt idx="16">
                  <c:v>Cars 3</c:v>
                </c:pt>
                <c:pt idx="17">
                  <c:v>Coco</c:v>
                </c:pt>
                <c:pt idx="18">
                  <c:v>Incredibles 2</c:v>
                </c:pt>
                <c:pt idx="19">
                  <c:v>Toy Story 4</c:v>
                </c:pt>
                <c:pt idx="20">
                  <c:v>Onward</c:v>
                </c:pt>
                <c:pt idx="21">
                  <c:v>Soul</c:v>
                </c:pt>
                <c:pt idx="22">
                  <c:v>Luca</c:v>
                </c:pt>
                <c:pt idx="23">
                  <c:v>Turning Red</c:v>
                </c:pt>
                <c:pt idx="24">
                  <c:v>Lightyear</c:v>
                </c:pt>
                <c:pt idx="25">
                  <c:v>Elemental</c:v>
                </c:pt>
                <c:pt idx="26">
                  <c:v>Inside Out 2</c:v>
                </c:pt>
              </c:strCache>
            </c:strRef>
          </c:cat>
          <c:val>
            <c:numRef>
              <c:f>Data!$G$4:$G$30</c:f>
              <c:numCache>
                <c:formatCode>0</c:formatCode>
                <c:ptCount val="27"/>
                <c:pt idx="0">
                  <c:v>1099</c:v>
                </c:pt>
                <c:pt idx="1">
                  <c:v>364</c:v>
                </c:pt>
                <c:pt idx="2">
                  <c:v>709</c:v>
                </c:pt>
                <c:pt idx="3">
                  <c:v>574</c:v>
                </c:pt>
                <c:pt idx="4">
                  <c:v>525</c:v>
                </c:pt>
                <c:pt idx="5">
                  <c:v>581</c:v>
                </c:pt>
                <c:pt idx="6">
                  <c:v>385</c:v>
                </c:pt>
                <c:pt idx="7">
                  <c:v>364</c:v>
                </c:pt>
                <c:pt idx="8">
                  <c:v>336</c:v>
                </c:pt>
                <c:pt idx="9">
                  <c:v>385</c:v>
                </c:pt>
                <c:pt idx="10">
                  <c:v>371</c:v>
                </c:pt>
                <c:pt idx="11">
                  <c:v>364</c:v>
                </c:pt>
                <c:pt idx="12">
                  <c:v>364</c:v>
                </c:pt>
                <c:pt idx="13">
                  <c:v>728</c:v>
                </c:pt>
                <c:pt idx="14">
                  <c:v>159</c:v>
                </c:pt>
                <c:pt idx="15">
                  <c:v>205</c:v>
                </c:pt>
                <c:pt idx="16">
                  <c:v>364</c:v>
                </c:pt>
                <c:pt idx="17">
                  <c:v>159</c:v>
                </c:pt>
                <c:pt idx="18">
                  <c:v>205</c:v>
                </c:pt>
                <c:pt idx="19">
                  <c:v>371</c:v>
                </c:pt>
                <c:pt idx="20">
                  <c:v>259</c:v>
                </c:pt>
                <c:pt idx="21">
                  <c:v>294</c:v>
                </c:pt>
                <c:pt idx="22">
                  <c:v>175</c:v>
                </c:pt>
                <c:pt idx="23">
                  <c:v>266</c:v>
                </c:pt>
                <c:pt idx="24">
                  <c:v>98</c:v>
                </c:pt>
                <c:pt idx="25">
                  <c:v>364</c:v>
                </c:pt>
                <c:pt idx="26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4-41A6-B392-E24F439F3E8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12753552"/>
        <c:axId val="2112743472"/>
      </c:lineChart>
      <c:catAx>
        <c:axId val="211275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Film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43472"/>
        <c:crosses val="autoZero"/>
        <c:auto val="1"/>
        <c:lblAlgn val="ctr"/>
        <c:lblOffset val="100"/>
        <c:noMultiLvlLbl val="0"/>
      </c:catAx>
      <c:valAx>
        <c:axId val="211274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 </a:t>
                </a:r>
                <a:r>
                  <a:rPr lang="en-GB" baseline="0"/>
                  <a:t>Since Prev. Release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5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Proportion of Box Office Sales from US &amp; Canada vs Rest of World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v>% US &amp; Canada Sales</c:v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Data!$A$3:$A$30</c:f>
              <c:strCache>
                <c:ptCount val="28"/>
                <c:pt idx="0">
                  <c:v>Toy Story</c:v>
                </c:pt>
                <c:pt idx="1">
                  <c:v>A Bug's Life</c:v>
                </c:pt>
                <c:pt idx="2">
                  <c:v>Toy Story 2</c:v>
                </c:pt>
                <c:pt idx="3">
                  <c:v>Monsters, Inc.</c:v>
                </c:pt>
                <c:pt idx="4">
                  <c:v>Finding Nemo</c:v>
                </c:pt>
                <c:pt idx="5">
                  <c:v>The Incredibles</c:v>
                </c:pt>
                <c:pt idx="6">
                  <c:v>Cars</c:v>
                </c:pt>
                <c:pt idx="7">
                  <c:v>Ratatouille</c:v>
                </c:pt>
                <c:pt idx="8">
                  <c:v>WALL-E</c:v>
                </c:pt>
                <c:pt idx="9">
                  <c:v>Up</c:v>
                </c:pt>
                <c:pt idx="10">
                  <c:v>Toy Story 3</c:v>
                </c:pt>
                <c:pt idx="11">
                  <c:v>Cars 2</c:v>
                </c:pt>
                <c:pt idx="12">
                  <c:v>Brave</c:v>
                </c:pt>
                <c:pt idx="13">
                  <c:v>Monsters University</c:v>
                </c:pt>
                <c:pt idx="14">
                  <c:v>Inside Out</c:v>
                </c:pt>
                <c:pt idx="15">
                  <c:v>The Good Dinosaur</c:v>
                </c:pt>
                <c:pt idx="16">
                  <c:v>Finding Dory</c:v>
                </c:pt>
                <c:pt idx="17">
                  <c:v>Cars 3</c:v>
                </c:pt>
                <c:pt idx="18">
                  <c:v>Coco</c:v>
                </c:pt>
                <c:pt idx="19">
                  <c:v>Incredibles 2</c:v>
                </c:pt>
                <c:pt idx="20">
                  <c:v>Toy Story 4</c:v>
                </c:pt>
                <c:pt idx="21">
                  <c:v>Onward</c:v>
                </c:pt>
                <c:pt idx="22">
                  <c:v>Soul</c:v>
                </c:pt>
                <c:pt idx="23">
                  <c:v>Luca</c:v>
                </c:pt>
                <c:pt idx="24">
                  <c:v>Turning Red</c:v>
                </c:pt>
                <c:pt idx="25">
                  <c:v>Lightyear</c:v>
                </c:pt>
                <c:pt idx="26">
                  <c:v>Elemental</c:v>
                </c:pt>
                <c:pt idx="27">
                  <c:v>Inside Out 2</c:v>
                </c:pt>
              </c:strCache>
            </c:strRef>
          </c:cat>
          <c:val>
            <c:numRef>
              <c:f>Data!$U$3:$U$30</c:f>
              <c:numCache>
                <c:formatCode>0.00%</c:formatCode>
                <c:ptCount val="28"/>
                <c:pt idx="0">
                  <c:v>0.56593553164969335</c:v>
                </c:pt>
                <c:pt idx="1">
                  <c:v>0.4481613069208038</c:v>
                </c:pt>
                <c:pt idx="2">
                  <c:v>0.48078263428751078</c:v>
                </c:pt>
                <c:pt idx="3">
                  <c:v>0.48389976232723575</c:v>
                </c:pt>
                <c:pt idx="4">
                  <c:v>0.39002197043734421</c:v>
                </c:pt>
                <c:pt idx="5">
                  <c:v>0.4140381126192012</c:v>
                </c:pt>
                <c:pt idx="6">
                  <c:v>0.5283374134496841</c:v>
                </c:pt>
                <c:pt idx="7">
                  <c:v>0.33098768668621581</c:v>
                </c:pt>
                <c:pt idx="8">
                  <c:v>0.4293172305728859</c:v>
                </c:pt>
                <c:pt idx="9">
                  <c:v>0.39859138880002032</c:v>
                </c:pt>
                <c:pt idx="10">
                  <c:v>0.38895657377442888</c:v>
                </c:pt>
                <c:pt idx="11">
                  <c:v>0.34196941438114342</c:v>
                </c:pt>
                <c:pt idx="12">
                  <c:v>0.4402423005360907</c:v>
                </c:pt>
                <c:pt idx="13">
                  <c:v>0.36109111021142382</c:v>
                </c:pt>
                <c:pt idx="14">
                  <c:v>0.4156449004009829</c:v>
                </c:pt>
                <c:pt idx="15">
                  <c:v>0.3705125761530052</c:v>
                </c:pt>
                <c:pt idx="16">
                  <c:v>0.47278759898871686</c:v>
                </c:pt>
                <c:pt idx="17">
                  <c:v>0.39825190463561211</c:v>
                </c:pt>
                <c:pt idx="18">
                  <c:v>0.25834689214553963</c:v>
                </c:pt>
                <c:pt idx="19">
                  <c:v>0.48968387494698595</c:v>
                </c:pt>
                <c:pt idx="20">
                  <c:v>0.40436015872496572</c:v>
                </c:pt>
                <c:pt idx="21">
                  <c:v>0.43367004921697855</c:v>
                </c:pt>
                <c:pt idx="22">
                  <c:v>7.7614753623315618E-3</c:v>
                </c:pt>
                <c:pt idx="23">
                  <c:v>2.5909646743835547E-2</c:v>
                </c:pt>
                <c:pt idx="24">
                  <c:v>6.4135058893729252E-2</c:v>
                </c:pt>
                <c:pt idx="25">
                  <c:v>0.52249958507308936</c:v>
                </c:pt>
                <c:pt idx="26">
                  <c:v>0.3110655002212252</c:v>
                </c:pt>
                <c:pt idx="27">
                  <c:v>0.38455140539795751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A-4A1D-9BFE-6A86FA486DBD}"/>
            </c:ext>
          </c:extLst>
        </c:ser>
        <c:ser>
          <c:idx val="1"/>
          <c:order val="1"/>
          <c:tx>
            <c:v>% Rest of World Sales</c:v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strRef>
              <c:f>Data!$A$3:$A$30</c:f>
              <c:strCache>
                <c:ptCount val="28"/>
                <c:pt idx="0">
                  <c:v>Toy Story</c:v>
                </c:pt>
                <c:pt idx="1">
                  <c:v>A Bug's Life</c:v>
                </c:pt>
                <c:pt idx="2">
                  <c:v>Toy Story 2</c:v>
                </c:pt>
                <c:pt idx="3">
                  <c:v>Monsters, Inc.</c:v>
                </c:pt>
                <c:pt idx="4">
                  <c:v>Finding Nemo</c:v>
                </c:pt>
                <c:pt idx="5">
                  <c:v>The Incredibles</c:v>
                </c:pt>
                <c:pt idx="6">
                  <c:v>Cars</c:v>
                </c:pt>
                <c:pt idx="7">
                  <c:v>Ratatouille</c:v>
                </c:pt>
                <c:pt idx="8">
                  <c:v>WALL-E</c:v>
                </c:pt>
                <c:pt idx="9">
                  <c:v>Up</c:v>
                </c:pt>
                <c:pt idx="10">
                  <c:v>Toy Story 3</c:v>
                </c:pt>
                <c:pt idx="11">
                  <c:v>Cars 2</c:v>
                </c:pt>
                <c:pt idx="12">
                  <c:v>Brave</c:v>
                </c:pt>
                <c:pt idx="13">
                  <c:v>Monsters University</c:v>
                </c:pt>
                <c:pt idx="14">
                  <c:v>Inside Out</c:v>
                </c:pt>
                <c:pt idx="15">
                  <c:v>The Good Dinosaur</c:v>
                </c:pt>
                <c:pt idx="16">
                  <c:v>Finding Dory</c:v>
                </c:pt>
                <c:pt idx="17">
                  <c:v>Cars 3</c:v>
                </c:pt>
                <c:pt idx="18">
                  <c:v>Coco</c:v>
                </c:pt>
                <c:pt idx="19">
                  <c:v>Incredibles 2</c:v>
                </c:pt>
                <c:pt idx="20">
                  <c:v>Toy Story 4</c:v>
                </c:pt>
                <c:pt idx="21">
                  <c:v>Onward</c:v>
                </c:pt>
                <c:pt idx="22">
                  <c:v>Soul</c:v>
                </c:pt>
                <c:pt idx="23">
                  <c:v>Luca</c:v>
                </c:pt>
                <c:pt idx="24">
                  <c:v>Turning Red</c:v>
                </c:pt>
                <c:pt idx="25">
                  <c:v>Lightyear</c:v>
                </c:pt>
                <c:pt idx="26">
                  <c:v>Elemental</c:v>
                </c:pt>
                <c:pt idx="27">
                  <c:v>Inside Out 2</c:v>
                </c:pt>
              </c:strCache>
            </c:strRef>
          </c:cat>
          <c:val>
            <c:numRef>
              <c:f>Data!$V$3:$V$30</c:f>
              <c:numCache>
                <c:formatCode>0.00%</c:formatCode>
                <c:ptCount val="28"/>
                <c:pt idx="0">
                  <c:v>0.43406446835030665</c:v>
                </c:pt>
                <c:pt idx="1">
                  <c:v>0.5518386930791962</c:v>
                </c:pt>
                <c:pt idx="2">
                  <c:v>0.51921736571248922</c:v>
                </c:pt>
                <c:pt idx="3">
                  <c:v>0.51610023767276425</c:v>
                </c:pt>
                <c:pt idx="4">
                  <c:v>0.60997802956265579</c:v>
                </c:pt>
                <c:pt idx="5">
                  <c:v>0.5859618873807988</c:v>
                </c:pt>
                <c:pt idx="6">
                  <c:v>0.47166258655031595</c:v>
                </c:pt>
                <c:pt idx="7">
                  <c:v>0.66901231331378419</c:v>
                </c:pt>
                <c:pt idx="8">
                  <c:v>0.57068276942711416</c:v>
                </c:pt>
                <c:pt idx="9">
                  <c:v>0.60140861119997968</c:v>
                </c:pt>
                <c:pt idx="10">
                  <c:v>0.61104342622557106</c:v>
                </c:pt>
                <c:pt idx="11">
                  <c:v>0.65803058561885663</c:v>
                </c:pt>
                <c:pt idx="12">
                  <c:v>0.5597576994639093</c:v>
                </c:pt>
                <c:pt idx="13">
                  <c:v>0.63890888978857618</c:v>
                </c:pt>
                <c:pt idx="14">
                  <c:v>0.5843550995990171</c:v>
                </c:pt>
                <c:pt idx="15">
                  <c:v>0.62948742384699474</c:v>
                </c:pt>
                <c:pt idx="16">
                  <c:v>0.52721240101128319</c:v>
                </c:pt>
                <c:pt idx="17">
                  <c:v>0.60174809536438789</c:v>
                </c:pt>
                <c:pt idx="18">
                  <c:v>0.74165310785446037</c:v>
                </c:pt>
                <c:pt idx="19">
                  <c:v>0.51031612505301405</c:v>
                </c:pt>
                <c:pt idx="20">
                  <c:v>0.59563984127503422</c:v>
                </c:pt>
                <c:pt idx="21">
                  <c:v>0.56632995078302151</c:v>
                </c:pt>
                <c:pt idx="22">
                  <c:v>0.99223852463766848</c:v>
                </c:pt>
                <c:pt idx="23">
                  <c:v>0.97409035325616444</c:v>
                </c:pt>
                <c:pt idx="24">
                  <c:v>0.93586494110627072</c:v>
                </c:pt>
                <c:pt idx="25">
                  <c:v>0.47750041492691059</c:v>
                </c:pt>
                <c:pt idx="26">
                  <c:v>0.68893449977877474</c:v>
                </c:pt>
                <c:pt idx="27">
                  <c:v>0.61544859460204249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A-4A1D-9BFE-6A86FA486D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112775632"/>
        <c:axId val="2112798672"/>
      </c:areaChart>
      <c:catAx>
        <c:axId val="211277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98672"/>
        <c:crosses val="autoZero"/>
        <c:auto val="1"/>
        <c:lblAlgn val="ctr"/>
        <c:lblOffset val="100"/>
        <c:noMultiLvlLbl val="0"/>
      </c:catAx>
      <c:valAx>
        <c:axId val="21127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75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Box Office : Budget Ratio (... : 1)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775858947806883E-2"/>
          <c:y val="0.13034616060446319"/>
          <c:w val="0.85119958010880337"/>
          <c:h val="0.57925250118642924"/>
        </c:manualLayout>
      </c:layout>
      <c:lineChart>
        <c:grouping val="standard"/>
        <c:varyColors val="0"/>
        <c:ser>
          <c:idx val="0"/>
          <c:order val="0"/>
          <c:tx>
            <c:strRef>
              <c:f>Data!$T$2</c:f>
              <c:strCache>
                <c:ptCount val="1"/>
                <c:pt idx="0">
                  <c:v>Box Office : Budget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4412729215640162E-2"/>
                  <c:y val="3.3906296245750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58-44EA-9BAF-BDC8BB5231AE}"/>
                </c:ext>
              </c:extLst>
            </c:dLbl>
            <c:dLbl>
              <c:idx val="3"/>
              <c:layout>
                <c:manualLayout>
                  <c:x val="-3.2328372509665589E-2"/>
                  <c:y val="4.1038847694192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58-44EA-9BAF-BDC8BB5231AE}"/>
                </c:ext>
              </c:extLst>
            </c:dLbl>
            <c:dLbl>
              <c:idx val="5"/>
              <c:layout>
                <c:manualLayout>
                  <c:x val="-2.6075302391741877E-2"/>
                  <c:y val="-5.1684321135547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58-44EA-9BAF-BDC8BB5231AE}"/>
                </c:ext>
              </c:extLst>
            </c:dLbl>
            <c:dLbl>
              <c:idx val="6"/>
              <c:layout>
                <c:manualLayout>
                  <c:x val="-3.6497085921614769E-2"/>
                  <c:y val="3.74725719699713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58-44EA-9BAF-BDC8BB5231AE}"/>
                </c:ext>
              </c:extLst>
            </c:dLbl>
            <c:dLbl>
              <c:idx val="11"/>
              <c:layout>
                <c:manualLayout>
                  <c:x val="-3.85814426275893E-2"/>
                  <c:y val="3.03400205215297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58-44EA-9BAF-BDC8BB5231AE}"/>
                </c:ext>
              </c:extLst>
            </c:dLbl>
            <c:dLbl>
              <c:idx val="12"/>
              <c:layout>
                <c:manualLayout>
                  <c:x val="3.10569149190211E-3"/>
                  <c:y val="1.60753388383151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897534665560041E-2"/>
                      <c:h val="4.98745064077831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958-44EA-9BAF-BDC8BB5231AE}"/>
                </c:ext>
              </c:extLst>
            </c:dLbl>
            <c:dLbl>
              <c:idx val="15"/>
              <c:layout>
                <c:manualLayout>
                  <c:x val="-3.4412729215640162E-2"/>
                  <c:y val="2.67737447973091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58-44EA-9BAF-BDC8BB5231AE}"/>
                </c:ext>
              </c:extLst>
            </c:dLbl>
            <c:dLbl>
              <c:idx val="17"/>
              <c:layout>
                <c:manualLayout>
                  <c:x val="-2.8159659097716522E-2"/>
                  <c:y val="3.3906296245750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58-44EA-9BAF-BDC8BB5231AE}"/>
                </c:ext>
              </c:extLst>
            </c:dLbl>
            <c:dLbl>
              <c:idx val="21"/>
              <c:layout>
                <c:manualLayout>
                  <c:x val="-3.2328372509665589E-2"/>
                  <c:y val="2.52683199030213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58-44EA-9BAF-BDC8BB5231AE}"/>
                </c:ext>
              </c:extLst>
            </c:dLbl>
            <c:dLbl>
              <c:idx val="22"/>
              <c:layout>
                <c:manualLayout>
                  <c:x val="-3.4412729215640162E-2"/>
                  <c:y val="-9.4479629826196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58-44EA-9BAF-BDC8BB5231AE}"/>
                </c:ext>
              </c:extLst>
            </c:dLbl>
            <c:dLbl>
              <c:idx val="23"/>
              <c:layout>
                <c:manualLayout>
                  <c:x val="-3.4412729215640162E-2"/>
                  <c:y val="-7.15396044162659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958-44EA-9BAF-BDC8BB5231AE}"/>
                </c:ext>
              </c:extLst>
            </c:dLbl>
            <c:dLbl>
              <c:idx val="25"/>
              <c:layout>
                <c:manualLayout>
                  <c:x val="-3.85814426275893E-2"/>
                  <c:y val="-6.4557583121100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958-44EA-9BAF-BDC8BB5231AE}"/>
                </c:ext>
              </c:extLst>
            </c:dLbl>
            <c:dLbl>
              <c:idx val="26"/>
              <c:layout>
                <c:manualLayout>
                  <c:x val="-5.317193956941145E-2"/>
                  <c:y val="-5.7575561825936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58-44EA-9BAF-BDC8BB5231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Data!$A$3:$A$30</c:f>
              <c:strCache>
                <c:ptCount val="28"/>
                <c:pt idx="0">
                  <c:v>Toy Story</c:v>
                </c:pt>
                <c:pt idx="1">
                  <c:v>A Bug's Life</c:v>
                </c:pt>
                <c:pt idx="2">
                  <c:v>Toy Story 2</c:v>
                </c:pt>
                <c:pt idx="3">
                  <c:v>Monsters, Inc.</c:v>
                </c:pt>
                <c:pt idx="4">
                  <c:v>Finding Nemo</c:v>
                </c:pt>
                <c:pt idx="5">
                  <c:v>The Incredibles</c:v>
                </c:pt>
                <c:pt idx="6">
                  <c:v>Cars</c:v>
                </c:pt>
                <c:pt idx="7">
                  <c:v>Ratatouille</c:v>
                </c:pt>
                <c:pt idx="8">
                  <c:v>WALL-E</c:v>
                </c:pt>
                <c:pt idx="9">
                  <c:v>Up</c:v>
                </c:pt>
                <c:pt idx="10">
                  <c:v>Toy Story 3</c:v>
                </c:pt>
                <c:pt idx="11">
                  <c:v>Cars 2</c:v>
                </c:pt>
                <c:pt idx="12">
                  <c:v>Brave</c:v>
                </c:pt>
                <c:pt idx="13">
                  <c:v>Monsters University</c:v>
                </c:pt>
                <c:pt idx="14">
                  <c:v>Inside Out</c:v>
                </c:pt>
                <c:pt idx="15">
                  <c:v>The Good Dinosaur</c:v>
                </c:pt>
                <c:pt idx="16">
                  <c:v>Finding Dory</c:v>
                </c:pt>
                <c:pt idx="17">
                  <c:v>Cars 3</c:v>
                </c:pt>
                <c:pt idx="18">
                  <c:v>Coco</c:v>
                </c:pt>
                <c:pt idx="19">
                  <c:v>Incredibles 2</c:v>
                </c:pt>
                <c:pt idx="20">
                  <c:v>Toy Story 4</c:v>
                </c:pt>
                <c:pt idx="21">
                  <c:v>Onward</c:v>
                </c:pt>
                <c:pt idx="22">
                  <c:v>Soul</c:v>
                </c:pt>
                <c:pt idx="23">
                  <c:v>Luca</c:v>
                </c:pt>
                <c:pt idx="24">
                  <c:v>Turning Red</c:v>
                </c:pt>
                <c:pt idx="25">
                  <c:v>Lightyear</c:v>
                </c:pt>
                <c:pt idx="26">
                  <c:v>Elemental</c:v>
                </c:pt>
                <c:pt idx="27">
                  <c:v>Inside Out 2</c:v>
                </c:pt>
              </c:strCache>
            </c:strRef>
          </c:cat>
          <c:val>
            <c:numRef>
              <c:f>Data!$T$3:$T$30</c:f>
              <c:numCache>
                <c:formatCode>0.00</c:formatCode>
                <c:ptCount val="28"/>
                <c:pt idx="0">
                  <c:v>13.1478862</c:v>
                </c:pt>
                <c:pt idx="1">
                  <c:v>3.0271571583333334</c:v>
                </c:pt>
                <c:pt idx="2">
                  <c:v>5.6817586222222225</c:v>
                </c:pt>
                <c:pt idx="3">
                  <c:v>4.5980282608695653</c:v>
                </c:pt>
                <c:pt idx="4">
                  <c:v>9.2661167872340418</c:v>
                </c:pt>
                <c:pt idx="5">
                  <c:v>6.8635010000000003</c:v>
                </c:pt>
                <c:pt idx="6">
                  <c:v>3.849859575</c:v>
                </c:pt>
                <c:pt idx="7">
                  <c:v>4.1581739000000004</c:v>
                </c:pt>
                <c:pt idx="8">
                  <c:v>2.8961769999999998</c:v>
                </c:pt>
                <c:pt idx="9">
                  <c:v>4.200566182857143</c:v>
                </c:pt>
                <c:pt idx="10">
                  <c:v>5.334848515</c:v>
                </c:pt>
                <c:pt idx="11">
                  <c:v>2.7992619799999998</c:v>
                </c:pt>
                <c:pt idx="12">
                  <c:v>2.9134227405405406</c:v>
                </c:pt>
                <c:pt idx="13">
                  <c:v>3.7177980349999999</c:v>
                </c:pt>
                <c:pt idx="14">
                  <c:v>4.9006352800000004</c:v>
                </c:pt>
                <c:pt idx="15">
                  <c:v>1.8983295485714287</c:v>
                </c:pt>
                <c:pt idx="16">
                  <c:v>5.1428544450000002</c:v>
                </c:pt>
                <c:pt idx="17">
                  <c:v>2.1938894628571428</c:v>
                </c:pt>
                <c:pt idx="18">
                  <c:v>4.655092411428571</c:v>
                </c:pt>
                <c:pt idx="19">
                  <c:v>6.2140267949999997</c:v>
                </c:pt>
                <c:pt idx="20">
                  <c:v>5.3669729650000004</c:v>
                </c:pt>
                <c:pt idx="21">
                  <c:v>0.81108595428571428</c:v>
                </c:pt>
                <c:pt idx="22">
                  <c:v>0.81269256666666667</c:v>
                </c:pt>
                <c:pt idx="23">
                  <c:v>0.29207036571428574</c:v>
                </c:pt>
                <c:pt idx="24">
                  <c:v>0.12464776</c:v>
                </c:pt>
                <c:pt idx="25">
                  <c:v>1.1321270999999999</c:v>
                </c:pt>
                <c:pt idx="26">
                  <c:v>2.4822215399999998</c:v>
                </c:pt>
                <c:pt idx="27">
                  <c:v>8.4901548249999994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1-4DF4-A07A-073B7FE6FB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12755472"/>
        <c:axId val="2112764592"/>
      </c:lineChart>
      <c:catAx>
        <c:axId val="211275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9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64592"/>
        <c:crosses val="autoZero"/>
        <c:auto val="1"/>
        <c:lblAlgn val="ctr"/>
        <c:lblOffset val="100"/>
        <c:noMultiLvlLbl val="0"/>
      </c:catAx>
      <c:valAx>
        <c:axId val="21127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Box Office</a:t>
                </a:r>
                <a:r>
                  <a:rPr lang="en-GB" baseline="0"/>
                  <a:t> : Budget</a:t>
                </a:r>
                <a:r>
                  <a:rPr lang="en-GB"/>
                  <a:t> ratio</a:t>
                </a:r>
                <a:r>
                  <a:rPr lang="en-GB" baseline="0"/>
                  <a:t> (...  : 1)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Academy Awards Won vs </a:t>
            </a:r>
          </a:p>
          <a:p>
            <a:pPr>
              <a:defRPr/>
            </a:pPr>
            <a:r>
              <a:rPr lang="en-GB"/>
              <a:t>Rotten Tomatoes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Data!$AE$2</c:f>
              <c:strCache>
                <c:ptCount val="1"/>
                <c:pt idx="0">
                  <c:v>Number of Awards won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Data!$X$4:$X$30</c:f>
              <c:numCache>
                <c:formatCode>General</c:formatCode>
                <c:ptCount val="27"/>
                <c:pt idx="0">
                  <c:v>92</c:v>
                </c:pt>
                <c:pt idx="1">
                  <c:v>100</c:v>
                </c:pt>
                <c:pt idx="2">
                  <c:v>96</c:v>
                </c:pt>
                <c:pt idx="3">
                  <c:v>99</c:v>
                </c:pt>
                <c:pt idx="4">
                  <c:v>97</c:v>
                </c:pt>
                <c:pt idx="5">
                  <c:v>75</c:v>
                </c:pt>
                <c:pt idx="6">
                  <c:v>96</c:v>
                </c:pt>
                <c:pt idx="7">
                  <c:v>95</c:v>
                </c:pt>
                <c:pt idx="8">
                  <c:v>98</c:v>
                </c:pt>
                <c:pt idx="9">
                  <c:v>98</c:v>
                </c:pt>
                <c:pt idx="10">
                  <c:v>40</c:v>
                </c:pt>
                <c:pt idx="11">
                  <c:v>79</c:v>
                </c:pt>
                <c:pt idx="12">
                  <c:v>80</c:v>
                </c:pt>
                <c:pt idx="13">
                  <c:v>98</c:v>
                </c:pt>
                <c:pt idx="14">
                  <c:v>75</c:v>
                </c:pt>
                <c:pt idx="15">
                  <c:v>94</c:v>
                </c:pt>
                <c:pt idx="16">
                  <c:v>69</c:v>
                </c:pt>
                <c:pt idx="17">
                  <c:v>97</c:v>
                </c:pt>
                <c:pt idx="18">
                  <c:v>93</c:v>
                </c:pt>
                <c:pt idx="19">
                  <c:v>97</c:v>
                </c:pt>
                <c:pt idx="20">
                  <c:v>88</c:v>
                </c:pt>
                <c:pt idx="21">
                  <c:v>95</c:v>
                </c:pt>
                <c:pt idx="22">
                  <c:v>91</c:v>
                </c:pt>
                <c:pt idx="23">
                  <c:v>95</c:v>
                </c:pt>
                <c:pt idx="24">
                  <c:v>74</c:v>
                </c:pt>
                <c:pt idx="25">
                  <c:v>73</c:v>
                </c:pt>
                <c:pt idx="26">
                  <c:v>90</c:v>
                </c:pt>
              </c:numCache>
            </c:numRef>
          </c:xVal>
          <c:yVal>
            <c:numRef>
              <c:f>Data!$AE$4:$AE$30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16-4C1B-8766-95B1D431C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818832"/>
        <c:axId val="2112829872"/>
      </c:scatterChart>
      <c:valAx>
        <c:axId val="211281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Rotten</a:t>
                </a:r>
                <a:r>
                  <a:rPr lang="en-GB" baseline="0"/>
                  <a:t> Tomatoes Score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29872"/>
        <c:crosses val="autoZero"/>
        <c:crossBetween val="midCat"/>
      </c:valAx>
      <c:valAx>
        <c:axId val="211282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Awards Won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1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/>
                </a:solidFill>
              </a:rPr>
              <a:t>Number of </a:t>
            </a:r>
            <a:r>
              <a:rPr lang="en-GB" sz="1400"/>
              <a:t>Academy Awards Won vs </a:t>
            </a:r>
          </a:p>
          <a:p>
            <a:pPr>
              <a:defRPr/>
            </a:pPr>
            <a:r>
              <a:rPr lang="en-GB" sz="1400"/>
              <a:t>MetaCritic</a:t>
            </a:r>
            <a:r>
              <a:rPr lang="en-GB" sz="1400" baseline="0"/>
              <a:t> </a:t>
            </a:r>
            <a:r>
              <a:rPr lang="en-GB"/>
              <a:t>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Data!$AE$2</c:f>
              <c:strCache>
                <c:ptCount val="1"/>
                <c:pt idx="0">
                  <c:v>Number of Awards won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Data!$Z$3:$Z$30</c:f>
              <c:numCache>
                <c:formatCode>General</c:formatCode>
                <c:ptCount val="28"/>
                <c:pt idx="0">
                  <c:v>95</c:v>
                </c:pt>
                <c:pt idx="1">
                  <c:v>78</c:v>
                </c:pt>
                <c:pt idx="2">
                  <c:v>88</c:v>
                </c:pt>
                <c:pt idx="3">
                  <c:v>79</c:v>
                </c:pt>
                <c:pt idx="4">
                  <c:v>90</c:v>
                </c:pt>
                <c:pt idx="5">
                  <c:v>90</c:v>
                </c:pt>
                <c:pt idx="6">
                  <c:v>73</c:v>
                </c:pt>
                <c:pt idx="7">
                  <c:v>96</c:v>
                </c:pt>
                <c:pt idx="8">
                  <c:v>95</c:v>
                </c:pt>
                <c:pt idx="9">
                  <c:v>88</c:v>
                </c:pt>
                <c:pt idx="10">
                  <c:v>92</c:v>
                </c:pt>
                <c:pt idx="11">
                  <c:v>57</c:v>
                </c:pt>
                <c:pt idx="12">
                  <c:v>69</c:v>
                </c:pt>
                <c:pt idx="13">
                  <c:v>65</c:v>
                </c:pt>
                <c:pt idx="14">
                  <c:v>94</c:v>
                </c:pt>
                <c:pt idx="15">
                  <c:v>66</c:v>
                </c:pt>
                <c:pt idx="16">
                  <c:v>77</c:v>
                </c:pt>
                <c:pt idx="17">
                  <c:v>59</c:v>
                </c:pt>
                <c:pt idx="18">
                  <c:v>81</c:v>
                </c:pt>
                <c:pt idx="19">
                  <c:v>80</c:v>
                </c:pt>
                <c:pt idx="20">
                  <c:v>84</c:v>
                </c:pt>
                <c:pt idx="21">
                  <c:v>64</c:v>
                </c:pt>
                <c:pt idx="22">
                  <c:v>83</c:v>
                </c:pt>
                <c:pt idx="23">
                  <c:v>71</c:v>
                </c:pt>
                <c:pt idx="24">
                  <c:v>83</c:v>
                </c:pt>
                <c:pt idx="25">
                  <c:v>60</c:v>
                </c:pt>
                <c:pt idx="26">
                  <c:v>58</c:v>
                </c:pt>
                <c:pt idx="27">
                  <c:v>73</c:v>
                </c:pt>
              </c:numCache>
            </c:numRef>
          </c:xVal>
          <c:yVal>
            <c:numRef>
              <c:f>Data!$AE$3:$AE$30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FC-4216-BADA-89F5FC1AB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818832"/>
        <c:axId val="2112829872"/>
      </c:scatterChart>
      <c:valAx>
        <c:axId val="211281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MetaCritic</a:t>
                </a:r>
                <a:r>
                  <a:rPr lang="en-GB" baseline="0"/>
                  <a:t> Score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29872"/>
        <c:crosses val="autoZero"/>
        <c:crossBetween val="midCat"/>
      </c:valAx>
      <c:valAx>
        <c:axId val="211282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Awards Won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1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Academy Awards Won vs </a:t>
            </a:r>
          </a:p>
          <a:p>
            <a:pPr>
              <a:defRPr/>
            </a:pPr>
            <a:r>
              <a:rPr lang="en-GB"/>
              <a:t>IMDB</a:t>
            </a:r>
            <a:r>
              <a:rPr lang="en-GB" baseline="0"/>
              <a:t> </a:t>
            </a:r>
            <a:r>
              <a:rPr lang="en-GB"/>
              <a:t>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Data!$AE$2</c:f>
              <c:strCache>
                <c:ptCount val="1"/>
                <c:pt idx="0">
                  <c:v>Number of Awards won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Data!$AB$3:$AB$30</c:f>
              <c:numCache>
                <c:formatCode>General</c:formatCode>
                <c:ptCount val="28"/>
                <c:pt idx="0">
                  <c:v>8.3000000000000007</c:v>
                </c:pt>
                <c:pt idx="1">
                  <c:v>7.2</c:v>
                </c:pt>
                <c:pt idx="2">
                  <c:v>7.9</c:v>
                </c:pt>
                <c:pt idx="3">
                  <c:v>8.1</c:v>
                </c:pt>
                <c:pt idx="4">
                  <c:v>8.1999999999999993</c:v>
                </c:pt>
                <c:pt idx="5">
                  <c:v>8</c:v>
                </c:pt>
                <c:pt idx="6">
                  <c:v>7.2</c:v>
                </c:pt>
                <c:pt idx="7">
                  <c:v>8.1</c:v>
                </c:pt>
                <c:pt idx="8">
                  <c:v>8.4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6.2</c:v>
                </c:pt>
                <c:pt idx="12">
                  <c:v>7.1</c:v>
                </c:pt>
                <c:pt idx="13">
                  <c:v>7.2</c:v>
                </c:pt>
                <c:pt idx="14">
                  <c:v>8.1</c:v>
                </c:pt>
                <c:pt idx="15">
                  <c:v>6.7</c:v>
                </c:pt>
                <c:pt idx="16">
                  <c:v>7.2</c:v>
                </c:pt>
                <c:pt idx="17">
                  <c:v>6.7</c:v>
                </c:pt>
                <c:pt idx="18">
                  <c:v>8.4</c:v>
                </c:pt>
                <c:pt idx="19">
                  <c:v>7.5</c:v>
                </c:pt>
                <c:pt idx="20">
                  <c:v>7.6</c:v>
                </c:pt>
                <c:pt idx="21">
                  <c:v>7.4</c:v>
                </c:pt>
                <c:pt idx="22">
                  <c:v>8</c:v>
                </c:pt>
                <c:pt idx="23">
                  <c:v>7.4</c:v>
                </c:pt>
                <c:pt idx="24">
                  <c:v>7</c:v>
                </c:pt>
                <c:pt idx="25">
                  <c:v>6.1</c:v>
                </c:pt>
                <c:pt idx="26">
                  <c:v>7</c:v>
                </c:pt>
                <c:pt idx="27">
                  <c:v>7.6</c:v>
                </c:pt>
              </c:numCache>
            </c:numRef>
          </c:xVal>
          <c:yVal>
            <c:numRef>
              <c:f>Data!$AE$3:$AE$30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4B-4409-8D89-9F49D6EBB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818832"/>
        <c:axId val="2112829872"/>
      </c:scatterChart>
      <c:valAx>
        <c:axId val="211281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IMDB </a:t>
                </a:r>
                <a:r>
                  <a:rPr lang="en-GB" baseline="0"/>
                  <a:t>Score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29872"/>
        <c:crosses val="autoZero"/>
        <c:crossBetween val="midCat"/>
      </c:valAx>
      <c:valAx>
        <c:axId val="211282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Awards Won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1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Release</a:t>
            </a:r>
            <a:r>
              <a:rPr lang="en-GB" baseline="0"/>
              <a:t> Day of the Week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CE-4D52-9412-5DDEEF079C6E}"/>
              </c:ext>
            </c:extLst>
          </c:dPt>
          <c:dPt>
            <c:idx val="1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40-4100-BC01-5659403C90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Data!$C$33:$C$34</c:f>
              <c:strCache>
                <c:ptCount val="2"/>
                <c:pt idx="0">
                  <c:v>Released on Wed</c:v>
                </c:pt>
                <c:pt idx="1">
                  <c:v>Released on Fri</c:v>
                </c:pt>
              </c:strCache>
            </c:strRef>
          </c:cat>
          <c:val>
            <c:numRef>
              <c:f>Data!$D$33:$D$34</c:f>
              <c:numCache>
                <c:formatCode>0</c:formatCode>
                <c:ptCount val="2"/>
                <c:pt idx="0">
                  <c:v>5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0-4100-BC01-5659403C9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48688"/>
        <c:axId val="89923728"/>
      </c:barChart>
      <c:catAx>
        <c:axId val="8994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3728"/>
        <c:crosses val="autoZero"/>
        <c:auto val="1"/>
        <c:lblAlgn val="ctr"/>
        <c:lblOffset val="100"/>
        <c:noMultiLvlLbl val="0"/>
      </c:catAx>
      <c:valAx>
        <c:axId val="899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Release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Data!$E$33:$E$37</c:f>
              <c:strCache>
                <c:ptCount val="5"/>
                <c:pt idx="0">
                  <c:v>Released in Mar</c:v>
                </c:pt>
                <c:pt idx="1">
                  <c:v>Released in May</c:v>
                </c:pt>
                <c:pt idx="2">
                  <c:v>Released in Jun</c:v>
                </c:pt>
                <c:pt idx="3">
                  <c:v>Released in Nov</c:v>
                </c:pt>
                <c:pt idx="4">
                  <c:v>Released in Dec</c:v>
                </c:pt>
              </c:strCache>
            </c:strRef>
          </c:cat>
          <c:val>
            <c:numRef>
              <c:f>Data!$F$33:$F$37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4-4C01-BADC-9DFCB8D3A6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9899952"/>
        <c:axId val="819922992"/>
      </c:barChart>
      <c:catAx>
        <c:axId val="81989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922992"/>
        <c:crosses val="autoZero"/>
        <c:auto val="1"/>
        <c:lblAlgn val="ctr"/>
        <c:lblOffset val="100"/>
        <c:noMultiLvlLbl val="0"/>
      </c:catAx>
      <c:valAx>
        <c:axId val="81992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9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Award Wins per Director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'Director w most awards'!$B$1</c:f>
              <c:strCache>
                <c:ptCount val="1"/>
                <c:pt idx="0">
                  <c:v>Sum of won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'Director w most awards'!$A$2:$A$14</c:f>
              <c:strCache>
                <c:ptCount val="13"/>
                <c:pt idx="0">
                  <c:v>Lee Unkrich</c:v>
                </c:pt>
                <c:pt idx="1">
                  <c:v>Pete Docter</c:v>
                </c:pt>
                <c:pt idx="2">
                  <c:v>Brad Bird</c:v>
                </c:pt>
                <c:pt idx="3">
                  <c:v>Mark Andrews</c:v>
                </c:pt>
                <c:pt idx="4">
                  <c:v>Andrew Stanton</c:v>
                </c:pt>
                <c:pt idx="5">
                  <c:v>Bob Peterson</c:v>
                </c:pt>
                <c:pt idx="6">
                  <c:v>Kemp Powers</c:v>
                </c:pt>
                <c:pt idx="7">
                  <c:v>Adrian Molina</c:v>
                </c:pt>
                <c:pt idx="8">
                  <c:v>John Lasseter</c:v>
                </c:pt>
                <c:pt idx="9">
                  <c:v>Jan Pinkava</c:v>
                </c:pt>
                <c:pt idx="10">
                  <c:v>David Silverman</c:v>
                </c:pt>
                <c:pt idx="11">
                  <c:v>Josh Cooley</c:v>
                </c:pt>
                <c:pt idx="12">
                  <c:v>Ronnie del Carmen</c:v>
                </c:pt>
              </c:strCache>
            </c:strRef>
          </c:cat>
          <c:val>
            <c:numRef>
              <c:f>'Director w most awards'!$B$2:$B$14</c:f>
              <c:numCache>
                <c:formatCode>General</c:formatCode>
                <c:ptCount val="13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4-4701-B04D-46777E3DD652}"/>
            </c:ext>
          </c:extLst>
        </c:ser>
        <c:ser>
          <c:idx val="1"/>
          <c:order val="1"/>
          <c:tx>
            <c:strRef>
              <c:f>'Director w most awards'!$C$1</c:f>
              <c:strCache>
                <c:ptCount val="1"/>
                <c:pt idx="0">
                  <c:v>Sum of nominated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'Director w most awards'!$A$2:$A$14</c:f>
              <c:strCache>
                <c:ptCount val="13"/>
                <c:pt idx="0">
                  <c:v>Lee Unkrich</c:v>
                </c:pt>
                <c:pt idx="1">
                  <c:v>Pete Docter</c:v>
                </c:pt>
                <c:pt idx="2">
                  <c:v>Brad Bird</c:v>
                </c:pt>
                <c:pt idx="3">
                  <c:v>Mark Andrews</c:v>
                </c:pt>
                <c:pt idx="4">
                  <c:v>Andrew Stanton</c:v>
                </c:pt>
                <c:pt idx="5">
                  <c:v>Bob Peterson</c:v>
                </c:pt>
                <c:pt idx="6">
                  <c:v>Kemp Powers</c:v>
                </c:pt>
                <c:pt idx="7">
                  <c:v>Adrian Molina</c:v>
                </c:pt>
                <c:pt idx="8">
                  <c:v>John Lasseter</c:v>
                </c:pt>
                <c:pt idx="9">
                  <c:v>Jan Pinkava</c:v>
                </c:pt>
                <c:pt idx="10">
                  <c:v>David Silverman</c:v>
                </c:pt>
                <c:pt idx="11">
                  <c:v>Josh Cooley</c:v>
                </c:pt>
                <c:pt idx="12">
                  <c:v>Ronnie del Carmen</c:v>
                </c:pt>
              </c:strCache>
            </c:strRef>
          </c:cat>
          <c:val>
            <c:numRef>
              <c:f>'Director w most awards'!$C$2:$C$14</c:f>
              <c:numCache>
                <c:formatCode>General</c:formatCode>
                <c:ptCount val="13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0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04-4701-B04D-46777E3D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251040"/>
        <c:axId val="135125200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'Director w most awards'!$D$1</c15:sqref>
                        </c15:formulaRef>
                      </c:ext>
                    </c:extLst>
                    <c:strCache>
                      <c:ptCount val="1"/>
                      <c:pt idx="0">
                        <c:v>Count of film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'Director w most awards'!$A$2:$A$14</c15:sqref>
                        </c15:formulaRef>
                      </c:ext>
                    </c:extLst>
                    <c:strCache>
                      <c:ptCount val="13"/>
                      <c:pt idx="0">
                        <c:v>Lee Unkrich</c:v>
                      </c:pt>
                      <c:pt idx="1">
                        <c:v>Pete Docter</c:v>
                      </c:pt>
                      <c:pt idx="2">
                        <c:v>Brad Bird</c:v>
                      </c:pt>
                      <c:pt idx="3">
                        <c:v>Mark Andrews</c:v>
                      </c:pt>
                      <c:pt idx="4">
                        <c:v>Andrew Stanton</c:v>
                      </c:pt>
                      <c:pt idx="5">
                        <c:v>Bob Peterson</c:v>
                      </c:pt>
                      <c:pt idx="6">
                        <c:v>Kemp Powers</c:v>
                      </c:pt>
                      <c:pt idx="7">
                        <c:v>Adrian Molina</c:v>
                      </c:pt>
                      <c:pt idx="8">
                        <c:v>John Lasseter</c:v>
                      </c:pt>
                      <c:pt idx="9">
                        <c:v>Jan Pinkava</c:v>
                      </c:pt>
                      <c:pt idx="10">
                        <c:v>David Silverman</c:v>
                      </c:pt>
                      <c:pt idx="11">
                        <c:v>Josh Cooley</c:v>
                      </c:pt>
                      <c:pt idx="12">
                        <c:v>Ronnie del Carmen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'Director w most awards'!$D$2:$D$14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5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5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D04-4701-B04D-46777E3DD65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awards'!$E$1</c15:sqref>
                        </c15:formulaRef>
                      </c:ext>
                    </c:extLst>
                    <c:strCache>
                      <c:ptCount val="1"/>
                      <c:pt idx="0">
                        <c:v>Wins per film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awards'!$A$2:$A$14</c15:sqref>
                        </c15:formulaRef>
                      </c:ext>
                    </c:extLst>
                    <c:strCache>
                      <c:ptCount val="13"/>
                      <c:pt idx="0">
                        <c:v>Lee Unkrich</c:v>
                      </c:pt>
                      <c:pt idx="1">
                        <c:v>Pete Docter</c:v>
                      </c:pt>
                      <c:pt idx="2">
                        <c:v>Brad Bird</c:v>
                      </c:pt>
                      <c:pt idx="3">
                        <c:v>Mark Andrews</c:v>
                      </c:pt>
                      <c:pt idx="4">
                        <c:v>Andrew Stanton</c:v>
                      </c:pt>
                      <c:pt idx="5">
                        <c:v>Bob Peterson</c:v>
                      </c:pt>
                      <c:pt idx="6">
                        <c:v>Kemp Powers</c:v>
                      </c:pt>
                      <c:pt idx="7">
                        <c:v>Adrian Molina</c:v>
                      </c:pt>
                      <c:pt idx="8">
                        <c:v>John Lasseter</c:v>
                      </c:pt>
                      <c:pt idx="9">
                        <c:v>Jan Pinkava</c:v>
                      </c:pt>
                      <c:pt idx="10">
                        <c:v>David Silverman</c:v>
                      </c:pt>
                      <c:pt idx="11">
                        <c:v>Josh Cooley</c:v>
                      </c:pt>
                      <c:pt idx="12">
                        <c:v>Ronnie del Carmen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awards'!$E$2:$E$14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1.2</c:v>
                      </c:pt>
                      <c:pt idx="1">
                        <c:v>1.5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0.5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0.2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D04-4701-B04D-46777E3DD65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awards'!$F$1</c15:sqref>
                        </c15:formulaRef>
                      </c:ext>
                    </c:extLst>
                    <c:strCache>
                      <c:ptCount val="1"/>
                      <c:pt idx="0">
                        <c:v>Nominations per film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awards'!$A$2:$A$14</c15:sqref>
                        </c15:formulaRef>
                      </c:ext>
                    </c:extLst>
                    <c:strCache>
                      <c:ptCount val="13"/>
                      <c:pt idx="0">
                        <c:v>Lee Unkrich</c:v>
                      </c:pt>
                      <c:pt idx="1">
                        <c:v>Pete Docter</c:v>
                      </c:pt>
                      <c:pt idx="2">
                        <c:v>Brad Bird</c:v>
                      </c:pt>
                      <c:pt idx="3">
                        <c:v>Mark Andrews</c:v>
                      </c:pt>
                      <c:pt idx="4">
                        <c:v>Andrew Stanton</c:v>
                      </c:pt>
                      <c:pt idx="5">
                        <c:v>Bob Peterson</c:v>
                      </c:pt>
                      <c:pt idx="6">
                        <c:v>Kemp Powers</c:v>
                      </c:pt>
                      <c:pt idx="7">
                        <c:v>Adrian Molina</c:v>
                      </c:pt>
                      <c:pt idx="8">
                        <c:v>John Lasseter</c:v>
                      </c:pt>
                      <c:pt idx="9">
                        <c:v>Jan Pinkava</c:v>
                      </c:pt>
                      <c:pt idx="10">
                        <c:v>David Silverman</c:v>
                      </c:pt>
                      <c:pt idx="11">
                        <c:v>Josh Cooley</c:v>
                      </c:pt>
                      <c:pt idx="12">
                        <c:v>Ronnie del Carmen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awards'!$F$2:$F$14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</c:v>
                      </c:pt>
                      <c:pt idx="1">
                        <c:v>2.25</c:v>
                      </c:pt>
                      <c:pt idx="2" formatCode="0.00">
                        <c:v>2.3333333333333335</c:v>
                      </c:pt>
                      <c:pt idx="3">
                        <c:v>0</c:v>
                      </c:pt>
                      <c:pt idx="4">
                        <c:v>2.25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0</c:v>
                      </c:pt>
                      <c:pt idx="8">
                        <c:v>1.4</c:v>
                      </c:pt>
                      <c:pt idx="9">
                        <c:v>4</c:v>
                      </c:pt>
                      <c:pt idx="10">
                        <c:v>3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D04-4701-B04D-46777E3DD652}"/>
                  </c:ext>
                </c:extLst>
              </c15:ser>
            </c15:filteredBarSeries>
          </c:ext>
        </c:extLst>
      </c:barChart>
      <c:catAx>
        <c:axId val="135125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52000"/>
        <c:crosses val="autoZero"/>
        <c:auto val="1"/>
        <c:lblAlgn val="ctr"/>
        <c:lblOffset val="100"/>
        <c:noMultiLvlLbl val="0"/>
      </c:catAx>
      <c:valAx>
        <c:axId val="135125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5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Number of Award Wins Per Film, for Directors.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'Director w most awards per film'!$E$2</c:f>
              <c:strCache>
                <c:ptCount val="1"/>
                <c:pt idx="0">
                  <c:v>Wins per film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'Director w most awards per film'!$A$3:$A$25</c:f>
              <c:strCache>
                <c:ptCount val="13"/>
                <c:pt idx="0">
                  <c:v>Bob Peterson</c:v>
                </c:pt>
                <c:pt idx="1">
                  <c:v>Kemp Powers</c:v>
                </c:pt>
                <c:pt idx="2">
                  <c:v>Adrian Molina</c:v>
                </c:pt>
                <c:pt idx="3">
                  <c:v>Pete Docter</c:v>
                </c:pt>
                <c:pt idx="4">
                  <c:v>Lee Unkrich</c:v>
                </c:pt>
                <c:pt idx="5">
                  <c:v>Jan Pinkava</c:v>
                </c:pt>
                <c:pt idx="6">
                  <c:v>David Silverman</c:v>
                </c:pt>
                <c:pt idx="7">
                  <c:v>Brad Bird</c:v>
                </c:pt>
                <c:pt idx="8">
                  <c:v>Josh Cooley</c:v>
                </c:pt>
                <c:pt idx="9">
                  <c:v>Ronnie del Carmen</c:v>
                </c:pt>
                <c:pt idx="10">
                  <c:v>Mark Andrews</c:v>
                </c:pt>
                <c:pt idx="11">
                  <c:v>Andrew Stanton</c:v>
                </c:pt>
                <c:pt idx="12">
                  <c:v>John Lasseter</c:v>
                </c:pt>
              </c:strCache>
            </c:strRef>
          </c:cat>
          <c:val>
            <c:numRef>
              <c:f>'Director w most awards per film'!$E$3:$E$25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1.5</c:v>
                </c:pt>
                <c:pt idx="4">
                  <c:v>1.2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0.5</c:v>
                </c:pt>
                <c:pt idx="1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5-4A15-AED9-79ABD74C30AA}"/>
            </c:ext>
          </c:extLst>
        </c:ser>
        <c:ser>
          <c:idx val="4"/>
          <c:order val="4"/>
          <c:tx>
            <c:strRef>
              <c:f>'Director w most awards per film'!$F$2</c:f>
              <c:strCache>
                <c:ptCount val="1"/>
                <c:pt idx="0">
                  <c:v>Nominations per film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'Director w most awards per film'!$A$3:$A$25</c:f>
              <c:strCache>
                <c:ptCount val="13"/>
                <c:pt idx="0">
                  <c:v>Bob Peterson</c:v>
                </c:pt>
                <c:pt idx="1">
                  <c:v>Kemp Powers</c:v>
                </c:pt>
                <c:pt idx="2">
                  <c:v>Adrian Molina</c:v>
                </c:pt>
                <c:pt idx="3">
                  <c:v>Pete Docter</c:v>
                </c:pt>
                <c:pt idx="4">
                  <c:v>Lee Unkrich</c:v>
                </c:pt>
                <c:pt idx="5">
                  <c:v>Jan Pinkava</c:v>
                </c:pt>
                <c:pt idx="6">
                  <c:v>David Silverman</c:v>
                </c:pt>
                <c:pt idx="7">
                  <c:v>Brad Bird</c:v>
                </c:pt>
                <c:pt idx="8">
                  <c:v>Josh Cooley</c:v>
                </c:pt>
                <c:pt idx="9">
                  <c:v>Ronnie del Carmen</c:v>
                </c:pt>
                <c:pt idx="10">
                  <c:v>Mark Andrews</c:v>
                </c:pt>
                <c:pt idx="11">
                  <c:v>Andrew Stanton</c:v>
                </c:pt>
                <c:pt idx="12">
                  <c:v>John Lasseter</c:v>
                </c:pt>
              </c:strCache>
            </c:strRef>
          </c:cat>
          <c:val>
            <c:numRef>
              <c:f>'Director w most awards per film'!$F$3:$F$25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2.25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 formatCode="0.00">
                  <c:v>2.3333333333333335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2.25</c:v>
                </c:pt>
                <c:pt idx="12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5-4A15-AED9-79ABD74C3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242400"/>
        <c:axId val="13512428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'Director w most awards per film'!$B$2</c15:sqref>
                        </c15:formulaRef>
                      </c:ext>
                    </c:extLst>
                    <c:strCache>
                      <c:ptCount val="1"/>
                      <c:pt idx="0">
                        <c:v>Sum of won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'Director w most awards per film'!$A$3:$A$25</c15:sqref>
                        </c15:formulaRef>
                      </c:ext>
                    </c:extLst>
                    <c:strCache>
                      <c:ptCount val="13"/>
                      <c:pt idx="0">
                        <c:v>Bob Peterson</c:v>
                      </c:pt>
                      <c:pt idx="1">
                        <c:v>Kemp Powers</c:v>
                      </c:pt>
                      <c:pt idx="2">
                        <c:v>Adrian Molina</c:v>
                      </c:pt>
                      <c:pt idx="3">
                        <c:v>Pete Docter</c:v>
                      </c:pt>
                      <c:pt idx="4">
                        <c:v>Lee Unkrich</c:v>
                      </c:pt>
                      <c:pt idx="5">
                        <c:v>Jan Pinkava</c:v>
                      </c:pt>
                      <c:pt idx="6">
                        <c:v>David Silverman</c:v>
                      </c:pt>
                      <c:pt idx="7">
                        <c:v>Brad Bird</c:v>
                      </c:pt>
                      <c:pt idx="8">
                        <c:v>Josh Cooley</c:v>
                      </c:pt>
                      <c:pt idx="9">
                        <c:v>Ronnie del Carmen</c:v>
                      </c:pt>
                      <c:pt idx="10">
                        <c:v>Mark Andrews</c:v>
                      </c:pt>
                      <c:pt idx="11">
                        <c:v>Andrew Stanton</c:v>
                      </c:pt>
                      <c:pt idx="12">
                        <c:v>John Lasseter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'Director w most awards per film'!$B$3:$B$25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3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3</c:v>
                      </c:pt>
                      <c:pt idx="11">
                        <c:v>2</c:v>
                      </c:pt>
                      <c:pt idx="12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B5-4A15-AED9-79ABD74C30A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 per film'!$C$2</c15:sqref>
                        </c15:formulaRef>
                      </c:ext>
                    </c:extLst>
                    <c:strCache>
                      <c:ptCount val="1"/>
                      <c:pt idx="0">
                        <c:v>Sum of nominated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 per film'!$A$3:$A$25</c15:sqref>
                        </c15:formulaRef>
                      </c:ext>
                    </c:extLst>
                    <c:strCache>
                      <c:ptCount val="13"/>
                      <c:pt idx="0">
                        <c:v>Bob Peterson</c:v>
                      </c:pt>
                      <c:pt idx="1">
                        <c:v>Kemp Powers</c:v>
                      </c:pt>
                      <c:pt idx="2">
                        <c:v>Adrian Molina</c:v>
                      </c:pt>
                      <c:pt idx="3">
                        <c:v>Pete Docter</c:v>
                      </c:pt>
                      <c:pt idx="4">
                        <c:v>Lee Unkrich</c:v>
                      </c:pt>
                      <c:pt idx="5">
                        <c:v>Jan Pinkava</c:v>
                      </c:pt>
                      <c:pt idx="6">
                        <c:v>David Silverman</c:v>
                      </c:pt>
                      <c:pt idx="7">
                        <c:v>Brad Bird</c:v>
                      </c:pt>
                      <c:pt idx="8">
                        <c:v>Josh Cooley</c:v>
                      </c:pt>
                      <c:pt idx="9">
                        <c:v>Ronnie del Carmen</c:v>
                      </c:pt>
                      <c:pt idx="10">
                        <c:v>Mark Andrews</c:v>
                      </c:pt>
                      <c:pt idx="11">
                        <c:v>Andrew Stanton</c:v>
                      </c:pt>
                      <c:pt idx="12">
                        <c:v>John Lasseter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 per film'!$C$3:$C$25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7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9</c:v>
                      </c:pt>
                      <c:pt idx="12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B5-4A15-AED9-79ABD74C30A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 per film'!$D$2</c15:sqref>
                        </c15:formulaRef>
                      </c:ext>
                    </c:extLst>
                    <c:strCache>
                      <c:ptCount val="1"/>
                      <c:pt idx="0">
                        <c:v>Count of film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 per film'!$A$3:$A$25</c15:sqref>
                        </c15:formulaRef>
                      </c:ext>
                    </c:extLst>
                    <c:strCache>
                      <c:ptCount val="13"/>
                      <c:pt idx="0">
                        <c:v>Bob Peterson</c:v>
                      </c:pt>
                      <c:pt idx="1">
                        <c:v>Kemp Powers</c:v>
                      </c:pt>
                      <c:pt idx="2">
                        <c:v>Adrian Molina</c:v>
                      </c:pt>
                      <c:pt idx="3">
                        <c:v>Pete Docter</c:v>
                      </c:pt>
                      <c:pt idx="4">
                        <c:v>Lee Unkrich</c:v>
                      </c:pt>
                      <c:pt idx="5">
                        <c:v>Jan Pinkava</c:v>
                      </c:pt>
                      <c:pt idx="6">
                        <c:v>David Silverman</c:v>
                      </c:pt>
                      <c:pt idx="7">
                        <c:v>Brad Bird</c:v>
                      </c:pt>
                      <c:pt idx="8">
                        <c:v>Josh Cooley</c:v>
                      </c:pt>
                      <c:pt idx="9">
                        <c:v>Ronnie del Carmen</c:v>
                      </c:pt>
                      <c:pt idx="10">
                        <c:v>Mark Andrews</c:v>
                      </c:pt>
                      <c:pt idx="11">
                        <c:v>Andrew Stanton</c:v>
                      </c:pt>
                      <c:pt idx="12">
                        <c:v>John Lasseter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'Director w most awards per film'!$D$3:$D$25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3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3</c:v>
                      </c:pt>
                      <c:pt idx="11">
                        <c:v>4</c:v>
                      </c:pt>
                      <c:pt idx="12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B5-4A15-AED9-79ABD74C30AA}"/>
                  </c:ext>
                </c:extLst>
              </c15:ser>
            </c15:filteredBarSeries>
          </c:ext>
        </c:extLst>
      </c:barChart>
      <c:catAx>
        <c:axId val="135124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Director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42880"/>
        <c:crosses val="autoZero"/>
        <c:auto val="1"/>
        <c:lblAlgn val="ctr"/>
        <c:lblOffset val="100"/>
        <c:noMultiLvlLbl val="0"/>
      </c:catAx>
      <c:valAx>
        <c:axId val="13512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4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12513</xdr:colOff>
      <xdr:row>65</xdr:row>
      <xdr:rowOff>9245</xdr:rowOff>
    </xdr:from>
    <xdr:to>
      <xdr:col>10</xdr:col>
      <xdr:colOff>1</xdr:colOff>
      <xdr:row>85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5EAAD-7EAD-47A2-ABFB-81BCF1175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15240</xdr:rowOff>
    </xdr:from>
    <xdr:to>
      <xdr:col>10</xdr:col>
      <xdr:colOff>0</xdr:colOff>
      <xdr:row>22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8AA9E6-81A3-4D00-AED8-55E833458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</xdr:row>
      <xdr:rowOff>7620</xdr:rowOff>
    </xdr:from>
    <xdr:to>
      <xdr:col>19</xdr:col>
      <xdr:colOff>600075</xdr:colOff>
      <xdr:row>22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F07D5D-EFDE-4042-AD6D-0FD85950E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65</xdr:row>
      <xdr:rowOff>10882</xdr:rowOff>
    </xdr:from>
    <xdr:to>
      <xdr:col>20</xdr:col>
      <xdr:colOff>25400</xdr:colOff>
      <xdr:row>84</xdr:row>
      <xdr:rowOff>174172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D9E570-7325-4F86-B922-FBF625A1C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8709</xdr:colOff>
      <xdr:row>41</xdr:row>
      <xdr:rowOff>176349</xdr:rowOff>
    </xdr:from>
    <xdr:to>
      <xdr:col>9</xdr:col>
      <xdr:colOff>594361</xdr:colOff>
      <xdr:row>61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CCF9A2-5B50-4CF7-955C-2456A0EEF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12518</xdr:colOff>
      <xdr:row>22</xdr:row>
      <xdr:rowOff>24766</xdr:rowOff>
    </xdr:from>
    <xdr:to>
      <xdr:col>9</xdr:col>
      <xdr:colOff>598714</xdr:colOff>
      <xdr:row>41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A726B1-C2D0-4CC8-A075-8AC2B838E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37011</xdr:colOff>
      <xdr:row>108</xdr:row>
      <xdr:rowOff>25310</xdr:rowOff>
    </xdr:from>
    <xdr:to>
      <xdr:col>7</xdr:col>
      <xdr:colOff>44631</xdr:colOff>
      <xdr:row>125</xdr:row>
      <xdr:rowOff>26126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3D742E-A9C5-47BE-A75F-01AB8F907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25580</xdr:colOff>
      <xdr:row>108</xdr:row>
      <xdr:rowOff>29392</xdr:rowOff>
    </xdr:from>
    <xdr:to>
      <xdr:col>14</xdr:col>
      <xdr:colOff>14151</xdr:colOff>
      <xdr:row>125</xdr:row>
      <xdr:rowOff>18506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4FF3B3-604C-4B29-BFF6-6D5BDE7DD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20954</xdr:colOff>
      <xdr:row>108</xdr:row>
      <xdr:rowOff>28848</xdr:rowOff>
    </xdr:from>
    <xdr:to>
      <xdr:col>21</xdr:col>
      <xdr:colOff>29391</xdr:colOff>
      <xdr:row>125</xdr:row>
      <xdr:rowOff>26126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E77C9D-C218-477A-822D-C83B31610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</xdr:colOff>
      <xdr:row>65</xdr:row>
      <xdr:rowOff>7620</xdr:rowOff>
    </xdr:from>
    <xdr:to>
      <xdr:col>30</xdr:col>
      <xdr:colOff>4358</xdr:colOff>
      <xdr:row>84</xdr:row>
      <xdr:rowOff>174172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CD3594-965B-4D06-8516-6E984527C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34431</xdr:colOff>
      <xdr:row>146</xdr:row>
      <xdr:rowOff>11864</xdr:rowOff>
    </xdr:from>
    <xdr:to>
      <xdr:col>20</xdr:col>
      <xdr:colOff>21771</xdr:colOff>
      <xdr:row>166</xdr:row>
      <xdr:rowOff>18506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32C90BD-B6E5-4FFC-9E88-E9720C9D2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37337</xdr:colOff>
      <xdr:row>146</xdr:row>
      <xdr:rowOff>16565</xdr:rowOff>
    </xdr:from>
    <xdr:to>
      <xdr:col>10</xdr:col>
      <xdr:colOff>52251</xdr:colOff>
      <xdr:row>166</xdr:row>
      <xdr:rowOff>56606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FBEB6C0-2CED-48B0-B305-9FE04417A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35061</xdr:colOff>
      <xdr:row>166</xdr:row>
      <xdr:rowOff>19718</xdr:rowOff>
    </xdr:from>
    <xdr:to>
      <xdr:col>10</xdr:col>
      <xdr:colOff>52251</xdr:colOff>
      <xdr:row>186</xdr:row>
      <xdr:rowOff>1829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3060622-DE39-4366-9146-73C7F5849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52250</xdr:colOff>
      <xdr:row>166</xdr:row>
      <xdr:rowOff>18507</xdr:rowOff>
    </xdr:from>
    <xdr:to>
      <xdr:col>20</xdr:col>
      <xdr:colOff>29391</xdr:colOff>
      <xdr:row>186</xdr:row>
      <xdr:rowOff>1089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6E0460D-2A19-4C86-A79A-B05B7BAE1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590549</xdr:colOff>
      <xdr:row>84</xdr:row>
      <xdr:rowOff>172170</xdr:rowOff>
    </xdr:from>
    <xdr:to>
      <xdr:col>30</xdr:col>
      <xdr:colOff>0</xdr:colOff>
      <xdr:row>104</xdr:row>
      <xdr:rowOff>160104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7735F3A-5FBE-46A8-A54A-AB4DF8972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599533</xdr:colOff>
      <xdr:row>41</xdr:row>
      <xdr:rowOff>164648</xdr:rowOff>
    </xdr:from>
    <xdr:to>
      <xdr:col>20</xdr:col>
      <xdr:colOff>0</xdr:colOff>
      <xdr:row>61</xdr:row>
      <xdr:rowOff>167640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266045C-FE11-4DD3-A170-DEF6E5B64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598714</xdr:colOff>
      <xdr:row>22</xdr:row>
      <xdr:rowOff>20955</xdr:rowOff>
    </xdr:from>
    <xdr:to>
      <xdr:col>20</xdr:col>
      <xdr:colOff>0</xdr:colOff>
      <xdr:row>41</xdr:row>
      <xdr:rowOff>160020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2A4C014-8138-48F2-8C96-E6FDDFCDD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29391</xdr:colOff>
      <xdr:row>126</xdr:row>
      <xdr:rowOff>24222</xdr:rowOff>
    </xdr:from>
    <xdr:to>
      <xdr:col>7</xdr:col>
      <xdr:colOff>37011</xdr:colOff>
      <xdr:row>142</xdr:row>
      <xdr:rowOff>178526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57B9EC5-1D52-4124-BF5B-8A3B37691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46536</xdr:colOff>
      <xdr:row>126</xdr:row>
      <xdr:rowOff>24221</xdr:rowOff>
    </xdr:from>
    <xdr:to>
      <xdr:col>14</xdr:col>
      <xdr:colOff>14151</xdr:colOff>
      <xdr:row>142</xdr:row>
      <xdr:rowOff>178526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119D0DA-FB4B-4CAE-A1C3-1FE2998CB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19866</xdr:colOff>
      <xdr:row>126</xdr:row>
      <xdr:rowOff>29936</xdr:rowOff>
    </xdr:from>
    <xdr:to>
      <xdr:col>21</xdr:col>
      <xdr:colOff>37011</xdr:colOff>
      <xdr:row>143</xdr:row>
      <xdr:rowOff>1089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C521EBA-91EC-4640-A34E-E55871A65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10878</xdr:colOff>
      <xdr:row>84</xdr:row>
      <xdr:rowOff>170996</xdr:rowOff>
    </xdr:from>
    <xdr:to>
      <xdr:col>10</xdr:col>
      <xdr:colOff>21766</xdr:colOff>
      <xdr:row>104</xdr:row>
      <xdr:rowOff>163286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0AF741C-DE4E-4A94-91D0-8E9BAEAD7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10</xdr:col>
      <xdr:colOff>0</xdr:colOff>
      <xdr:row>84</xdr:row>
      <xdr:rowOff>171450</xdr:rowOff>
    </xdr:from>
    <xdr:to>
      <xdr:col>20</xdr:col>
      <xdr:colOff>0</xdr:colOff>
      <xdr:row>104</xdr:row>
      <xdr:rowOff>161925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F151A70-CDF4-4070-8D53-0671BD884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156210</xdr:rowOff>
    </xdr:from>
    <xdr:to>
      <xdr:col>15</xdr:col>
      <xdr:colOff>533400</xdr:colOff>
      <xdr:row>25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520176-D228-7854-E2BA-EFB2CAEFD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1</xdr:row>
      <xdr:rowOff>49530</xdr:rowOff>
    </xdr:from>
    <xdr:to>
      <xdr:col>16</xdr:col>
      <xdr:colOff>518160</xdr:colOff>
      <xdr:row>27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F6C3F5-316C-72BD-60BD-D99605779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Green" refreshedDate="45735.789564583334" createdVersion="8" refreshedVersion="8" minRefreshableVersion="3" recordCount="260" xr:uid="{C2EA2D63-8A3E-40B3-9B78-15068F150E9D}">
  <cacheSource type="worksheet">
    <worksheetSource ref="A1:E261" sheet="directors wip - ignore"/>
  </cacheSource>
  <cacheFields count="5">
    <cacheField name="film" numFmtId="0">
      <sharedItems count="28">
        <s v="Toy Story"/>
        <s v="A Bug's Life"/>
        <s v="Toy Story 2"/>
        <s v="Monsters, Inc."/>
        <s v="Finding Nemo"/>
        <s v="The Incredibles"/>
        <s v="Cars"/>
        <s v="Ratatouille"/>
        <s v="WALL-E"/>
        <s v="Up"/>
        <s v="Toy Story 3"/>
        <s v="Cars 2"/>
        <s v="Brave"/>
        <s v="Monsters University"/>
        <s v="Inside Out"/>
        <s v="The Good Dinosaur"/>
        <s v="Finding Dory"/>
        <s v="Cars 3"/>
        <s v="Coco"/>
        <s v="Incredibles 2"/>
        <s v="Toy Story 4"/>
        <s v="Onward"/>
        <s v="Soul"/>
        <s v="Luca"/>
        <s v="Turning Red"/>
        <s v="Lightyear"/>
        <s v="Elemental"/>
        <s v="Inside Out 2"/>
      </sharedItems>
    </cacheField>
    <cacheField name="role_type" numFmtId="0">
      <sharedItems count="6">
        <s v="Director"/>
        <s v="Musician"/>
        <s v="Producer"/>
        <s v="Screenwriter"/>
        <s v="Storywriter"/>
        <s v="Co-director"/>
      </sharedItems>
    </cacheField>
    <cacheField name="name" numFmtId="0">
      <sharedItems count="95">
        <s v="John Lasseter"/>
        <s v="Randy Newman"/>
        <s v="Bonnie Arnold"/>
        <s v="Ralph Guggenheim"/>
        <s v="Joel Cohen"/>
        <s v="Alec Sokolow"/>
        <s v="Andrew Stanton"/>
        <s v="Joss Whedon"/>
        <s v="Pete Docter"/>
        <s v="Joe Ranft"/>
        <s v="Darla K. Anderson"/>
        <s v="Kevin Reher"/>
        <s v="Donald McEnery"/>
        <s v="Bob Shaw"/>
        <s v="Ash Brannon"/>
        <s v="Lee Unkrich"/>
        <s v="Karen Robert Jackson"/>
        <s v="Helene Plotkin"/>
        <s v="Doug Chamberlin"/>
        <s v="Rita Hsiao"/>
        <s v="Chris Webb"/>
        <s v="David Silverman"/>
        <s v="Dan Gerson"/>
        <s v="Jill Culton"/>
        <s v="Ralph Eggleston"/>
        <s v="Jeff Pidgeon"/>
        <s v="Thomas Newman"/>
        <s v="Graham Walters"/>
        <s v="Bob Peterson"/>
        <s v="David Reynolds"/>
        <s v="Brad Bird"/>
        <s v="Michael Giacchino"/>
        <s v="John Walker"/>
        <s v="Dan Fogelman"/>
        <s v="Jorgen Klubien"/>
        <s v="Phil Lorin"/>
        <s v="Kiel Murray"/>
        <s v="Jan Pinkava"/>
        <s v="Brad Lewis"/>
        <s v="Jim Capobianco"/>
        <s v="Jim Morris"/>
        <s v="Jim Reardon"/>
        <s v="Jonas Rivera"/>
        <s v="Tom McCarthy"/>
        <s v="Michael Arndt"/>
        <s v="Denise Ream"/>
        <s v="Ben Queen"/>
        <s v="Mark Andrews"/>
        <s v="Dan Scanlon"/>
        <s v="Kori Rae"/>
        <s v="Robert L. Baird"/>
        <s v="Ronnie del Carmen"/>
        <s v="Josh Cooley"/>
        <s v="Meg LeFauve"/>
        <s v="del Carmen"/>
        <s v="Peter Sohn"/>
        <s v="Mychael"/>
        <s v="Jeff Danna"/>
        <s v="Erik Benson"/>
        <s v="Kelsey Mann"/>
        <s v="Angus MacLane"/>
        <s v="Lindsey Collins"/>
        <s v="Victoria Strouse"/>
        <s v="Brian Fee"/>
        <s v="Mike Rich"/>
        <s v="Eyal Podell"/>
        <s v="Jonathan E. Stewart"/>
        <s v="Adrian Molina"/>
        <s v="Matthew Aldrich"/>
        <s v="Jason Katz"/>
        <s v="Nicole Paradis Grindle"/>
        <s v="Mark Nielsen"/>
        <s v="Stephany Folsom"/>
        <s v="Martin Hynes"/>
        <s v="Rashida Jones"/>
        <s v="Valerie LaPointe"/>
        <s v="Will McCormack"/>
        <s v="Keith Bunin"/>
        <s v="Jason Headley"/>
        <s v="Kemp Powers"/>
        <s v="Trent Reznor"/>
        <s v="Atticus Ross"/>
        <s v="Dana Murray"/>
        <s v="Mike Jones"/>
        <s v="Jesse Andrews"/>
        <s v="Domee Shi"/>
        <s v="Ludwig GÃ¶ransson"/>
        <s v="Julia Cho"/>
        <s v="Sarah Streicher"/>
        <s v="Galyn Susman"/>
        <s v="John Hoberg"/>
        <s v="Brenda Hsueh"/>
        <s v="Kat Likkel"/>
        <s v="Andrea Datzman"/>
        <s v="Dave Holstein"/>
      </sharedItems>
    </cacheField>
    <cacheField name="won" numFmtId="0">
      <sharedItems containsSemiMixedTypes="0" containsString="0" containsNumber="1" containsInteger="1" minValue="0" maxValue="2"/>
    </cacheField>
    <cacheField name="nominated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x v="0"/>
    <x v="0"/>
    <n v="1"/>
    <n v="3"/>
  </r>
  <r>
    <x v="0"/>
    <x v="1"/>
    <x v="1"/>
    <n v="1"/>
    <n v="3"/>
  </r>
  <r>
    <x v="0"/>
    <x v="2"/>
    <x v="2"/>
    <n v="1"/>
    <n v="3"/>
  </r>
  <r>
    <x v="0"/>
    <x v="2"/>
    <x v="3"/>
    <n v="1"/>
    <n v="3"/>
  </r>
  <r>
    <x v="0"/>
    <x v="3"/>
    <x v="4"/>
    <n v="1"/>
    <n v="3"/>
  </r>
  <r>
    <x v="0"/>
    <x v="3"/>
    <x v="5"/>
    <n v="1"/>
    <n v="3"/>
  </r>
  <r>
    <x v="0"/>
    <x v="3"/>
    <x v="6"/>
    <n v="1"/>
    <n v="3"/>
  </r>
  <r>
    <x v="0"/>
    <x v="3"/>
    <x v="7"/>
    <n v="1"/>
    <n v="3"/>
  </r>
  <r>
    <x v="0"/>
    <x v="4"/>
    <x v="8"/>
    <n v="1"/>
    <n v="3"/>
  </r>
  <r>
    <x v="0"/>
    <x v="4"/>
    <x v="0"/>
    <n v="1"/>
    <n v="3"/>
  </r>
  <r>
    <x v="0"/>
    <x v="4"/>
    <x v="9"/>
    <n v="1"/>
    <n v="3"/>
  </r>
  <r>
    <x v="0"/>
    <x v="4"/>
    <x v="6"/>
    <n v="1"/>
    <n v="3"/>
  </r>
  <r>
    <x v="1"/>
    <x v="5"/>
    <x v="6"/>
    <n v="0"/>
    <n v="1"/>
  </r>
  <r>
    <x v="1"/>
    <x v="0"/>
    <x v="0"/>
    <n v="0"/>
    <n v="1"/>
  </r>
  <r>
    <x v="1"/>
    <x v="1"/>
    <x v="1"/>
    <n v="0"/>
    <n v="1"/>
  </r>
  <r>
    <x v="1"/>
    <x v="2"/>
    <x v="10"/>
    <n v="0"/>
    <n v="1"/>
  </r>
  <r>
    <x v="1"/>
    <x v="2"/>
    <x v="11"/>
    <n v="0"/>
    <n v="1"/>
  </r>
  <r>
    <x v="1"/>
    <x v="3"/>
    <x v="12"/>
    <n v="0"/>
    <n v="1"/>
  </r>
  <r>
    <x v="1"/>
    <x v="3"/>
    <x v="13"/>
    <n v="0"/>
    <n v="1"/>
  </r>
  <r>
    <x v="1"/>
    <x v="3"/>
    <x v="6"/>
    <n v="0"/>
    <n v="1"/>
  </r>
  <r>
    <x v="1"/>
    <x v="4"/>
    <x v="0"/>
    <n v="0"/>
    <n v="1"/>
  </r>
  <r>
    <x v="1"/>
    <x v="4"/>
    <x v="9"/>
    <n v="0"/>
    <n v="1"/>
  </r>
  <r>
    <x v="1"/>
    <x v="4"/>
    <x v="6"/>
    <n v="0"/>
    <n v="1"/>
  </r>
  <r>
    <x v="2"/>
    <x v="5"/>
    <x v="14"/>
    <n v="0"/>
    <n v="1"/>
  </r>
  <r>
    <x v="2"/>
    <x v="5"/>
    <x v="15"/>
    <n v="0"/>
    <n v="1"/>
  </r>
  <r>
    <x v="2"/>
    <x v="0"/>
    <x v="0"/>
    <n v="0"/>
    <n v="1"/>
  </r>
  <r>
    <x v="2"/>
    <x v="1"/>
    <x v="1"/>
    <n v="0"/>
    <n v="1"/>
  </r>
  <r>
    <x v="2"/>
    <x v="2"/>
    <x v="16"/>
    <n v="0"/>
    <n v="1"/>
  </r>
  <r>
    <x v="2"/>
    <x v="2"/>
    <x v="17"/>
    <n v="0"/>
    <n v="1"/>
  </r>
  <r>
    <x v="2"/>
    <x v="3"/>
    <x v="18"/>
    <n v="0"/>
    <n v="1"/>
  </r>
  <r>
    <x v="2"/>
    <x v="3"/>
    <x v="19"/>
    <n v="0"/>
    <n v="1"/>
  </r>
  <r>
    <x v="2"/>
    <x v="3"/>
    <x v="6"/>
    <n v="0"/>
    <n v="1"/>
  </r>
  <r>
    <x v="2"/>
    <x v="3"/>
    <x v="20"/>
    <n v="0"/>
    <n v="1"/>
  </r>
  <r>
    <x v="2"/>
    <x v="4"/>
    <x v="14"/>
    <n v="0"/>
    <n v="1"/>
  </r>
  <r>
    <x v="2"/>
    <x v="4"/>
    <x v="8"/>
    <n v="0"/>
    <n v="1"/>
  </r>
  <r>
    <x v="2"/>
    <x v="4"/>
    <x v="0"/>
    <n v="0"/>
    <n v="1"/>
  </r>
  <r>
    <x v="2"/>
    <x v="4"/>
    <x v="6"/>
    <n v="0"/>
    <n v="1"/>
  </r>
  <r>
    <x v="3"/>
    <x v="5"/>
    <x v="21"/>
    <n v="1"/>
    <n v="3"/>
  </r>
  <r>
    <x v="3"/>
    <x v="5"/>
    <x v="15"/>
    <n v="1"/>
    <n v="3"/>
  </r>
  <r>
    <x v="3"/>
    <x v="0"/>
    <x v="8"/>
    <n v="1"/>
    <n v="3"/>
  </r>
  <r>
    <x v="3"/>
    <x v="1"/>
    <x v="1"/>
    <n v="1"/>
    <n v="3"/>
  </r>
  <r>
    <x v="3"/>
    <x v="2"/>
    <x v="10"/>
    <n v="1"/>
    <n v="3"/>
  </r>
  <r>
    <x v="3"/>
    <x v="3"/>
    <x v="22"/>
    <n v="1"/>
    <n v="3"/>
  </r>
  <r>
    <x v="3"/>
    <x v="3"/>
    <x v="6"/>
    <n v="1"/>
    <n v="3"/>
  </r>
  <r>
    <x v="3"/>
    <x v="4"/>
    <x v="23"/>
    <n v="1"/>
    <n v="3"/>
  </r>
  <r>
    <x v="3"/>
    <x v="4"/>
    <x v="8"/>
    <n v="1"/>
    <n v="3"/>
  </r>
  <r>
    <x v="3"/>
    <x v="4"/>
    <x v="24"/>
    <n v="1"/>
    <n v="3"/>
  </r>
  <r>
    <x v="3"/>
    <x v="4"/>
    <x v="25"/>
    <n v="1"/>
    <n v="3"/>
  </r>
  <r>
    <x v="4"/>
    <x v="5"/>
    <x v="15"/>
    <n v="1"/>
    <n v="3"/>
  </r>
  <r>
    <x v="4"/>
    <x v="0"/>
    <x v="6"/>
    <n v="1"/>
    <n v="3"/>
  </r>
  <r>
    <x v="4"/>
    <x v="1"/>
    <x v="26"/>
    <n v="1"/>
    <n v="3"/>
  </r>
  <r>
    <x v="4"/>
    <x v="2"/>
    <x v="27"/>
    <n v="1"/>
    <n v="3"/>
  </r>
  <r>
    <x v="4"/>
    <x v="3"/>
    <x v="28"/>
    <n v="1"/>
    <n v="3"/>
  </r>
  <r>
    <x v="4"/>
    <x v="3"/>
    <x v="29"/>
    <n v="1"/>
    <n v="3"/>
  </r>
  <r>
    <x v="4"/>
    <x v="3"/>
    <x v="6"/>
    <n v="1"/>
    <n v="3"/>
  </r>
  <r>
    <x v="4"/>
    <x v="4"/>
    <x v="6"/>
    <n v="1"/>
    <n v="3"/>
  </r>
  <r>
    <x v="5"/>
    <x v="0"/>
    <x v="30"/>
    <n v="2"/>
    <n v="2"/>
  </r>
  <r>
    <x v="5"/>
    <x v="1"/>
    <x v="31"/>
    <n v="2"/>
    <n v="2"/>
  </r>
  <r>
    <x v="5"/>
    <x v="2"/>
    <x v="32"/>
    <n v="2"/>
    <n v="2"/>
  </r>
  <r>
    <x v="5"/>
    <x v="3"/>
    <x v="30"/>
    <n v="2"/>
    <n v="2"/>
  </r>
  <r>
    <x v="5"/>
    <x v="4"/>
    <x v="30"/>
    <n v="2"/>
    <n v="2"/>
  </r>
  <r>
    <x v="6"/>
    <x v="5"/>
    <x v="9"/>
    <n v="0"/>
    <n v="2"/>
  </r>
  <r>
    <x v="6"/>
    <x v="0"/>
    <x v="0"/>
    <n v="0"/>
    <n v="2"/>
  </r>
  <r>
    <x v="6"/>
    <x v="1"/>
    <x v="1"/>
    <n v="0"/>
    <n v="2"/>
  </r>
  <r>
    <x v="6"/>
    <x v="2"/>
    <x v="10"/>
    <n v="0"/>
    <n v="2"/>
  </r>
  <r>
    <x v="6"/>
    <x v="3"/>
    <x v="33"/>
    <n v="0"/>
    <n v="2"/>
  </r>
  <r>
    <x v="6"/>
    <x v="3"/>
    <x v="34"/>
    <n v="0"/>
    <n v="2"/>
  </r>
  <r>
    <x v="6"/>
    <x v="3"/>
    <x v="0"/>
    <n v="0"/>
    <n v="2"/>
  </r>
  <r>
    <x v="6"/>
    <x v="3"/>
    <x v="35"/>
    <n v="0"/>
    <n v="2"/>
  </r>
  <r>
    <x v="6"/>
    <x v="3"/>
    <x v="36"/>
    <n v="0"/>
    <n v="2"/>
  </r>
  <r>
    <x v="6"/>
    <x v="3"/>
    <x v="9"/>
    <n v="0"/>
    <n v="2"/>
  </r>
  <r>
    <x v="6"/>
    <x v="4"/>
    <x v="0"/>
    <n v="0"/>
    <n v="2"/>
  </r>
  <r>
    <x v="6"/>
    <x v="4"/>
    <x v="34"/>
    <n v="0"/>
    <n v="2"/>
  </r>
  <r>
    <x v="6"/>
    <x v="4"/>
    <x v="9"/>
    <n v="0"/>
    <n v="2"/>
  </r>
  <r>
    <x v="7"/>
    <x v="5"/>
    <x v="37"/>
    <n v="1"/>
    <n v="4"/>
  </r>
  <r>
    <x v="7"/>
    <x v="0"/>
    <x v="30"/>
    <n v="1"/>
    <n v="4"/>
  </r>
  <r>
    <x v="7"/>
    <x v="1"/>
    <x v="31"/>
    <n v="1"/>
    <n v="4"/>
  </r>
  <r>
    <x v="7"/>
    <x v="2"/>
    <x v="38"/>
    <n v="1"/>
    <n v="4"/>
  </r>
  <r>
    <x v="7"/>
    <x v="3"/>
    <x v="30"/>
    <n v="1"/>
    <n v="4"/>
  </r>
  <r>
    <x v="7"/>
    <x v="4"/>
    <x v="30"/>
    <n v="1"/>
    <n v="4"/>
  </r>
  <r>
    <x v="7"/>
    <x v="4"/>
    <x v="39"/>
    <n v="1"/>
    <n v="4"/>
  </r>
  <r>
    <x v="7"/>
    <x v="4"/>
    <x v="37"/>
    <n v="1"/>
    <n v="4"/>
  </r>
  <r>
    <x v="8"/>
    <x v="0"/>
    <x v="6"/>
    <n v="1"/>
    <n v="5"/>
  </r>
  <r>
    <x v="8"/>
    <x v="1"/>
    <x v="26"/>
    <n v="1"/>
    <n v="5"/>
  </r>
  <r>
    <x v="8"/>
    <x v="2"/>
    <x v="40"/>
    <n v="1"/>
    <n v="5"/>
  </r>
  <r>
    <x v="8"/>
    <x v="3"/>
    <x v="41"/>
    <n v="1"/>
    <n v="5"/>
  </r>
  <r>
    <x v="8"/>
    <x v="3"/>
    <x v="6"/>
    <n v="1"/>
    <n v="5"/>
  </r>
  <r>
    <x v="8"/>
    <x v="4"/>
    <x v="8"/>
    <n v="1"/>
    <n v="5"/>
  </r>
  <r>
    <x v="8"/>
    <x v="4"/>
    <x v="6"/>
    <n v="1"/>
    <n v="5"/>
  </r>
  <r>
    <x v="9"/>
    <x v="5"/>
    <x v="28"/>
    <n v="2"/>
    <n v="3"/>
  </r>
  <r>
    <x v="9"/>
    <x v="0"/>
    <x v="8"/>
    <n v="2"/>
    <n v="3"/>
  </r>
  <r>
    <x v="9"/>
    <x v="1"/>
    <x v="31"/>
    <n v="2"/>
    <n v="3"/>
  </r>
  <r>
    <x v="9"/>
    <x v="2"/>
    <x v="42"/>
    <n v="2"/>
    <n v="3"/>
  </r>
  <r>
    <x v="9"/>
    <x v="3"/>
    <x v="8"/>
    <n v="2"/>
    <n v="3"/>
  </r>
  <r>
    <x v="9"/>
    <x v="3"/>
    <x v="28"/>
    <n v="2"/>
    <n v="3"/>
  </r>
  <r>
    <x v="9"/>
    <x v="4"/>
    <x v="8"/>
    <n v="2"/>
    <n v="3"/>
  </r>
  <r>
    <x v="9"/>
    <x v="4"/>
    <x v="43"/>
    <n v="2"/>
    <n v="3"/>
  </r>
  <r>
    <x v="9"/>
    <x v="4"/>
    <x v="28"/>
    <n v="2"/>
    <n v="3"/>
  </r>
  <r>
    <x v="10"/>
    <x v="0"/>
    <x v="15"/>
    <n v="2"/>
    <n v="3"/>
  </r>
  <r>
    <x v="10"/>
    <x v="1"/>
    <x v="1"/>
    <n v="2"/>
    <n v="3"/>
  </r>
  <r>
    <x v="10"/>
    <x v="2"/>
    <x v="10"/>
    <n v="2"/>
    <n v="3"/>
  </r>
  <r>
    <x v="10"/>
    <x v="3"/>
    <x v="44"/>
    <n v="2"/>
    <n v="3"/>
  </r>
  <r>
    <x v="10"/>
    <x v="4"/>
    <x v="0"/>
    <n v="2"/>
    <n v="3"/>
  </r>
  <r>
    <x v="10"/>
    <x v="4"/>
    <x v="6"/>
    <n v="2"/>
    <n v="3"/>
  </r>
  <r>
    <x v="10"/>
    <x v="4"/>
    <x v="15"/>
    <n v="2"/>
    <n v="3"/>
  </r>
  <r>
    <x v="11"/>
    <x v="5"/>
    <x v="38"/>
    <n v="0"/>
    <n v="0"/>
  </r>
  <r>
    <x v="11"/>
    <x v="0"/>
    <x v="0"/>
    <n v="0"/>
    <n v="0"/>
  </r>
  <r>
    <x v="11"/>
    <x v="1"/>
    <x v="31"/>
    <n v="0"/>
    <n v="0"/>
  </r>
  <r>
    <x v="11"/>
    <x v="2"/>
    <x v="45"/>
    <n v="0"/>
    <n v="0"/>
  </r>
  <r>
    <x v="11"/>
    <x v="3"/>
    <x v="46"/>
    <n v="0"/>
    <n v="0"/>
  </r>
  <r>
    <x v="11"/>
    <x v="4"/>
    <x v="33"/>
    <n v="0"/>
    <n v="0"/>
  </r>
  <r>
    <x v="11"/>
    <x v="4"/>
    <x v="0"/>
    <n v="0"/>
    <n v="0"/>
  </r>
  <r>
    <x v="11"/>
    <x v="4"/>
    <x v="38"/>
    <n v="0"/>
    <n v="0"/>
  </r>
  <r>
    <x v="12"/>
    <x v="5"/>
    <x v="47"/>
    <n v="1"/>
    <n v="0"/>
  </r>
  <r>
    <x v="12"/>
    <x v="0"/>
    <x v="47"/>
    <n v="1"/>
    <n v="0"/>
  </r>
  <r>
    <x v="12"/>
    <x v="0"/>
    <x v="47"/>
    <n v="1"/>
    <n v="0"/>
  </r>
  <r>
    <x v="12"/>
    <x v="1"/>
    <x v="47"/>
    <n v="1"/>
    <n v="0"/>
  </r>
  <r>
    <x v="12"/>
    <x v="2"/>
    <x v="47"/>
    <n v="1"/>
    <n v="0"/>
  </r>
  <r>
    <x v="12"/>
    <x v="3"/>
    <x v="47"/>
    <n v="1"/>
    <n v="0"/>
  </r>
  <r>
    <x v="12"/>
    <x v="3"/>
    <x v="47"/>
    <n v="1"/>
    <n v="0"/>
  </r>
  <r>
    <x v="12"/>
    <x v="3"/>
    <x v="47"/>
    <n v="1"/>
    <n v="0"/>
  </r>
  <r>
    <x v="12"/>
    <x v="3"/>
    <x v="47"/>
    <n v="1"/>
    <n v="0"/>
  </r>
  <r>
    <x v="12"/>
    <x v="4"/>
    <x v="47"/>
    <n v="1"/>
    <n v="0"/>
  </r>
  <r>
    <x v="13"/>
    <x v="0"/>
    <x v="48"/>
    <n v="0"/>
    <n v="0"/>
  </r>
  <r>
    <x v="13"/>
    <x v="1"/>
    <x v="1"/>
    <n v="0"/>
    <n v="0"/>
  </r>
  <r>
    <x v="13"/>
    <x v="2"/>
    <x v="49"/>
    <n v="0"/>
    <n v="0"/>
  </r>
  <r>
    <x v="13"/>
    <x v="3"/>
    <x v="50"/>
    <n v="0"/>
    <n v="0"/>
  </r>
  <r>
    <x v="13"/>
    <x v="3"/>
    <x v="22"/>
    <n v="0"/>
    <n v="0"/>
  </r>
  <r>
    <x v="13"/>
    <x v="3"/>
    <x v="48"/>
    <n v="0"/>
    <n v="0"/>
  </r>
  <r>
    <x v="13"/>
    <x v="4"/>
    <x v="50"/>
    <n v="0"/>
    <n v="0"/>
  </r>
  <r>
    <x v="13"/>
    <x v="4"/>
    <x v="22"/>
    <n v="0"/>
    <n v="0"/>
  </r>
  <r>
    <x v="13"/>
    <x v="4"/>
    <x v="48"/>
    <n v="0"/>
    <n v="0"/>
  </r>
  <r>
    <x v="14"/>
    <x v="5"/>
    <x v="51"/>
    <n v="1"/>
    <n v="1"/>
  </r>
  <r>
    <x v="14"/>
    <x v="0"/>
    <x v="8"/>
    <n v="1"/>
    <n v="1"/>
  </r>
  <r>
    <x v="14"/>
    <x v="1"/>
    <x v="31"/>
    <n v="1"/>
    <n v="1"/>
  </r>
  <r>
    <x v="14"/>
    <x v="2"/>
    <x v="42"/>
    <n v="1"/>
    <n v="1"/>
  </r>
  <r>
    <x v="14"/>
    <x v="3"/>
    <x v="52"/>
    <n v="1"/>
    <n v="1"/>
  </r>
  <r>
    <x v="14"/>
    <x v="3"/>
    <x v="8"/>
    <n v="1"/>
    <n v="1"/>
  </r>
  <r>
    <x v="14"/>
    <x v="3"/>
    <x v="53"/>
    <n v="1"/>
    <n v="1"/>
  </r>
  <r>
    <x v="14"/>
    <x v="4"/>
    <x v="54"/>
    <n v="1"/>
    <n v="1"/>
  </r>
  <r>
    <x v="14"/>
    <x v="4"/>
    <x v="8"/>
    <n v="1"/>
    <n v="1"/>
  </r>
  <r>
    <x v="15"/>
    <x v="0"/>
    <x v="55"/>
    <n v="0"/>
    <n v="0"/>
  </r>
  <r>
    <x v="15"/>
    <x v="1"/>
    <x v="56"/>
    <n v="0"/>
    <n v="0"/>
  </r>
  <r>
    <x v="15"/>
    <x v="1"/>
    <x v="57"/>
    <n v="0"/>
    <n v="0"/>
  </r>
  <r>
    <x v="15"/>
    <x v="2"/>
    <x v="45"/>
    <n v="0"/>
    <n v="0"/>
  </r>
  <r>
    <x v="15"/>
    <x v="3"/>
    <x v="53"/>
    <n v="0"/>
    <n v="0"/>
  </r>
  <r>
    <x v="15"/>
    <x v="4"/>
    <x v="58"/>
    <n v="0"/>
    <n v="0"/>
  </r>
  <r>
    <x v="15"/>
    <x v="4"/>
    <x v="53"/>
    <n v="0"/>
    <n v="0"/>
  </r>
  <r>
    <x v="15"/>
    <x v="4"/>
    <x v="59"/>
    <n v="0"/>
    <n v="0"/>
  </r>
  <r>
    <x v="15"/>
    <x v="4"/>
    <x v="28"/>
    <n v="0"/>
    <n v="0"/>
  </r>
  <r>
    <x v="15"/>
    <x v="4"/>
    <x v="55"/>
    <n v="0"/>
    <n v="0"/>
  </r>
  <r>
    <x v="16"/>
    <x v="5"/>
    <x v="60"/>
    <n v="0"/>
    <n v="0"/>
  </r>
  <r>
    <x v="16"/>
    <x v="0"/>
    <x v="6"/>
    <n v="0"/>
    <n v="0"/>
  </r>
  <r>
    <x v="16"/>
    <x v="1"/>
    <x v="26"/>
    <n v="0"/>
    <n v="0"/>
  </r>
  <r>
    <x v="16"/>
    <x v="2"/>
    <x v="61"/>
    <n v="0"/>
    <n v="0"/>
  </r>
  <r>
    <x v="16"/>
    <x v="3"/>
    <x v="6"/>
    <n v="0"/>
    <n v="0"/>
  </r>
  <r>
    <x v="16"/>
    <x v="3"/>
    <x v="62"/>
    <n v="0"/>
    <n v="0"/>
  </r>
  <r>
    <x v="16"/>
    <x v="4"/>
    <x v="6"/>
    <n v="0"/>
    <n v="0"/>
  </r>
  <r>
    <x v="17"/>
    <x v="0"/>
    <x v="63"/>
    <n v="0"/>
    <n v="0"/>
  </r>
  <r>
    <x v="17"/>
    <x v="1"/>
    <x v="1"/>
    <n v="0"/>
    <n v="0"/>
  </r>
  <r>
    <x v="17"/>
    <x v="2"/>
    <x v="11"/>
    <n v="0"/>
    <n v="0"/>
  </r>
  <r>
    <x v="17"/>
    <x v="3"/>
    <x v="36"/>
    <n v="0"/>
    <n v="0"/>
  </r>
  <r>
    <x v="17"/>
    <x v="3"/>
    <x v="28"/>
    <n v="0"/>
    <n v="0"/>
  </r>
  <r>
    <x v="17"/>
    <x v="3"/>
    <x v="64"/>
    <n v="0"/>
    <n v="0"/>
  </r>
  <r>
    <x v="17"/>
    <x v="4"/>
    <x v="63"/>
    <n v="0"/>
    <n v="0"/>
  </r>
  <r>
    <x v="17"/>
    <x v="4"/>
    <x v="65"/>
    <n v="0"/>
    <n v="0"/>
  </r>
  <r>
    <x v="17"/>
    <x v="4"/>
    <x v="46"/>
    <n v="0"/>
    <n v="0"/>
  </r>
  <r>
    <x v="17"/>
    <x v="4"/>
    <x v="66"/>
    <n v="0"/>
    <n v="0"/>
  </r>
  <r>
    <x v="18"/>
    <x v="5"/>
    <x v="67"/>
    <n v="2"/>
    <n v="0"/>
  </r>
  <r>
    <x v="18"/>
    <x v="0"/>
    <x v="15"/>
    <n v="2"/>
    <n v="0"/>
  </r>
  <r>
    <x v="18"/>
    <x v="1"/>
    <x v="31"/>
    <n v="2"/>
    <n v="0"/>
  </r>
  <r>
    <x v="18"/>
    <x v="2"/>
    <x v="10"/>
    <n v="2"/>
    <n v="0"/>
  </r>
  <r>
    <x v="18"/>
    <x v="3"/>
    <x v="68"/>
    <n v="2"/>
    <n v="0"/>
  </r>
  <r>
    <x v="18"/>
    <x v="3"/>
    <x v="67"/>
    <n v="2"/>
    <n v="0"/>
  </r>
  <r>
    <x v="18"/>
    <x v="4"/>
    <x v="68"/>
    <n v="2"/>
    <n v="0"/>
  </r>
  <r>
    <x v="18"/>
    <x v="4"/>
    <x v="69"/>
    <n v="2"/>
    <n v="0"/>
  </r>
  <r>
    <x v="18"/>
    <x v="4"/>
    <x v="67"/>
    <n v="2"/>
    <n v="0"/>
  </r>
  <r>
    <x v="18"/>
    <x v="4"/>
    <x v="15"/>
    <n v="2"/>
    <n v="0"/>
  </r>
  <r>
    <x v="19"/>
    <x v="0"/>
    <x v="30"/>
    <n v="0"/>
    <n v="1"/>
  </r>
  <r>
    <x v="19"/>
    <x v="1"/>
    <x v="31"/>
    <n v="0"/>
    <n v="1"/>
  </r>
  <r>
    <x v="19"/>
    <x v="2"/>
    <x v="70"/>
    <n v="0"/>
    <n v="1"/>
  </r>
  <r>
    <x v="19"/>
    <x v="2"/>
    <x v="32"/>
    <n v="0"/>
    <n v="1"/>
  </r>
  <r>
    <x v="19"/>
    <x v="3"/>
    <x v="30"/>
    <n v="0"/>
    <n v="1"/>
  </r>
  <r>
    <x v="19"/>
    <x v="4"/>
    <x v="30"/>
    <n v="0"/>
    <n v="1"/>
  </r>
  <r>
    <x v="20"/>
    <x v="0"/>
    <x v="52"/>
    <n v="1"/>
    <n v="1"/>
  </r>
  <r>
    <x v="20"/>
    <x v="1"/>
    <x v="1"/>
    <n v="1"/>
    <n v="1"/>
  </r>
  <r>
    <x v="20"/>
    <x v="2"/>
    <x v="71"/>
    <n v="1"/>
    <n v="1"/>
  </r>
  <r>
    <x v="20"/>
    <x v="2"/>
    <x v="42"/>
    <n v="1"/>
    <n v="1"/>
  </r>
  <r>
    <x v="20"/>
    <x v="3"/>
    <x v="72"/>
    <n v="1"/>
    <n v="1"/>
  </r>
  <r>
    <x v="20"/>
    <x v="3"/>
    <x v="6"/>
    <n v="1"/>
    <n v="1"/>
  </r>
  <r>
    <x v="20"/>
    <x v="4"/>
    <x v="52"/>
    <n v="1"/>
    <n v="1"/>
  </r>
  <r>
    <x v="20"/>
    <x v="4"/>
    <x v="72"/>
    <n v="1"/>
    <n v="1"/>
  </r>
  <r>
    <x v="20"/>
    <x v="4"/>
    <x v="73"/>
    <n v="1"/>
    <n v="1"/>
  </r>
  <r>
    <x v="20"/>
    <x v="4"/>
    <x v="74"/>
    <n v="1"/>
    <n v="1"/>
  </r>
  <r>
    <x v="20"/>
    <x v="4"/>
    <x v="75"/>
    <n v="1"/>
    <n v="1"/>
  </r>
  <r>
    <x v="20"/>
    <x v="4"/>
    <x v="0"/>
    <n v="1"/>
    <n v="1"/>
  </r>
  <r>
    <x v="20"/>
    <x v="4"/>
    <x v="76"/>
    <n v="1"/>
    <n v="1"/>
  </r>
  <r>
    <x v="20"/>
    <x v="4"/>
    <x v="6"/>
    <n v="1"/>
    <n v="1"/>
  </r>
  <r>
    <x v="21"/>
    <x v="0"/>
    <x v="48"/>
    <n v="0"/>
    <n v="1"/>
  </r>
  <r>
    <x v="21"/>
    <x v="1"/>
    <x v="56"/>
    <n v="0"/>
    <n v="1"/>
  </r>
  <r>
    <x v="21"/>
    <x v="1"/>
    <x v="57"/>
    <n v="0"/>
    <n v="1"/>
  </r>
  <r>
    <x v="21"/>
    <x v="2"/>
    <x v="49"/>
    <n v="0"/>
    <n v="1"/>
  </r>
  <r>
    <x v="21"/>
    <x v="3"/>
    <x v="77"/>
    <n v="0"/>
    <n v="1"/>
  </r>
  <r>
    <x v="21"/>
    <x v="3"/>
    <x v="78"/>
    <n v="0"/>
    <n v="1"/>
  </r>
  <r>
    <x v="21"/>
    <x v="3"/>
    <x v="48"/>
    <n v="0"/>
    <n v="1"/>
  </r>
  <r>
    <x v="21"/>
    <x v="4"/>
    <x v="77"/>
    <n v="0"/>
    <n v="1"/>
  </r>
  <r>
    <x v="21"/>
    <x v="4"/>
    <x v="78"/>
    <n v="0"/>
    <n v="1"/>
  </r>
  <r>
    <x v="21"/>
    <x v="4"/>
    <x v="48"/>
    <n v="0"/>
    <n v="1"/>
  </r>
  <r>
    <x v="22"/>
    <x v="5"/>
    <x v="79"/>
    <n v="2"/>
    <n v="2"/>
  </r>
  <r>
    <x v="22"/>
    <x v="0"/>
    <x v="8"/>
    <n v="2"/>
    <n v="2"/>
  </r>
  <r>
    <x v="22"/>
    <x v="1"/>
    <x v="80"/>
    <n v="2"/>
    <n v="2"/>
  </r>
  <r>
    <x v="22"/>
    <x v="1"/>
    <x v="81"/>
    <n v="2"/>
    <n v="2"/>
  </r>
  <r>
    <x v="22"/>
    <x v="2"/>
    <x v="82"/>
    <n v="2"/>
    <n v="2"/>
  </r>
  <r>
    <x v="22"/>
    <x v="3"/>
    <x v="8"/>
    <n v="2"/>
    <n v="2"/>
  </r>
  <r>
    <x v="22"/>
    <x v="3"/>
    <x v="83"/>
    <n v="2"/>
    <n v="2"/>
  </r>
  <r>
    <x v="22"/>
    <x v="3"/>
    <x v="79"/>
    <n v="2"/>
    <n v="2"/>
  </r>
  <r>
    <x v="22"/>
    <x v="4"/>
    <x v="8"/>
    <n v="2"/>
    <n v="2"/>
  </r>
  <r>
    <x v="22"/>
    <x v="4"/>
    <x v="83"/>
    <n v="2"/>
    <n v="2"/>
  </r>
  <r>
    <x v="22"/>
    <x v="4"/>
    <x v="79"/>
    <n v="2"/>
    <n v="2"/>
  </r>
  <r>
    <x v="23"/>
    <x v="0"/>
    <x v="84"/>
    <n v="0"/>
    <n v="0"/>
  </r>
  <r>
    <x v="23"/>
    <x v="1"/>
    <x v="84"/>
    <n v="0"/>
    <n v="0"/>
  </r>
  <r>
    <x v="23"/>
    <x v="2"/>
    <x v="84"/>
    <n v="0"/>
    <n v="0"/>
  </r>
  <r>
    <x v="23"/>
    <x v="3"/>
    <x v="84"/>
    <n v="0"/>
    <n v="0"/>
  </r>
  <r>
    <x v="23"/>
    <x v="3"/>
    <x v="84"/>
    <n v="0"/>
    <n v="0"/>
  </r>
  <r>
    <x v="23"/>
    <x v="4"/>
    <x v="84"/>
    <n v="0"/>
    <n v="0"/>
  </r>
  <r>
    <x v="23"/>
    <x v="4"/>
    <x v="84"/>
    <n v="0"/>
    <n v="0"/>
  </r>
  <r>
    <x v="23"/>
    <x v="4"/>
    <x v="84"/>
    <n v="0"/>
    <n v="0"/>
  </r>
  <r>
    <x v="24"/>
    <x v="0"/>
    <x v="85"/>
    <n v="0"/>
    <n v="1"/>
  </r>
  <r>
    <x v="24"/>
    <x v="1"/>
    <x v="86"/>
    <n v="0"/>
    <n v="1"/>
  </r>
  <r>
    <x v="24"/>
    <x v="2"/>
    <x v="61"/>
    <n v="0"/>
    <n v="1"/>
  </r>
  <r>
    <x v="24"/>
    <x v="3"/>
    <x v="87"/>
    <n v="0"/>
    <n v="1"/>
  </r>
  <r>
    <x v="24"/>
    <x v="3"/>
    <x v="85"/>
    <n v="0"/>
    <n v="1"/>
  </r>
  <r>
    <x v="24"/>
    <x v="4"/>
    <x v="87"/>
    <n v="0"/>
    <n v="1"/>
  </r>
  <r>
    <x v="24"/>
    <x v="4"/>
    <x v="85"/>
    <n v="0"/>
    <n v="1"/>
  </r>
  <r>
    <x v="24"/>
    <x v="4"/>
    <x v="88"/>
    <n v="0"/>
    <n v="1"/>
  </r>
  <r>
    <x v="25"/>
    <x v="0"/>
    <x v="60"/>
    <n v="0"/>
    <n v="0"/>
  </r>
  <r>
    <x v="25"/>
    <x v="1"/>
    <x v="31"/>
    <n v="0"/>
    <n v="0"/>
  </r>
  <r>
    <x v="25"/>
    <x v="2"/>
    <x v="89"/>
    <n v="0"/>
    <n v="0"/>
  </r>
  <r>
    <x v="25"/>
    <x v="3"/>
    <x v="78"/>
    <n v="0"/>
    <n v="0"/>
  </r>
  <r>
    <x v="25"/>
    <x v="3"/>
    <x v="60"/>
    <n v="0"/>
    <n v="0"/>
  </r>
  <r>
    <x v="25"/>
    <x v="4"/>
    <x v="68"/>
    <n v="0"/>
    <n v="0"/>
  </r>
  <r>
    <x v="25"/>
    <x v="4"/>
    <x v="78"/>
    <n v="0"/>
    <n v="0"/>
  </r>
  <r>
    <x v="25"/>
    <x v="4"/>
    <x v="60"/>
    <n v="0"/>
    <n v="0"/>
  </r>
  <r>
    <x v="26"/>
    <x v="0"/>
    <x v="55"/>
    <n v="0"/>
    <n v="1"/>
  </r>
  <r>
    <x v="26"/>
    <x v="1"/>
    <x v="26"/>
    <n v="0"/>
    <n v="1"/>
  </r>
  <r>
    <x v="26"/>
    <x v="2"/>
    <x v="45"/>
    <n v="0"/>
    <n v="1"/>
  </r>
  <r>
    <x v="26"/>
    <x v="3"/>
    <x v="90"/>
    <n v="0"/>
    <n v="1"/>
  </r>
  <r>
    <x v="26"/>
    <x v="3"/>
    <x v="91"/>
    <n v="0"/>
    <n v="1"/>
  </r>
  <r>
    <x v="26"/>
    <x v="3"/>
    <x v="92"/>
    <n v="0"/>
    <n v="1"/>
  </r>
  <r>
    <x v="26"/>
    <x v="4"/>
    <x v="90"/>
    <n v="0"/>
    <n v="1"/>
  </r>
  <r>
    <x v="26"/>
    <x v="4"/>
    <x v="91"/>
    <n v="0"/>
    <n v="1"/>
  </r>
  <r>
    <x v="26"/>
    <x v="4"/>
    <x v="92"/>
    <n v="0"/>
    <n v="1"/>
  </r>
  <r>
    <x v="26"/>
    <x v="4"/>
    <x v="55"/>
    <n v="0"/>
    <n v="1"/>
  </r>
  <r>
    <x v="27"/>
    <x v="0"/>
    <x v="59"/>
    <n v="0"/>
    <n v="1"/>
  </r>
  <r>
    <x v="27"/>
    <x v="1"/>
    <x v="93"/>
    <n v="0"/>
    <n v="1"/>
  </r>
  <r>
    <x v="27"/>
    <x v="2"/>
    <x v="71"/>
    <n v="0"/>
    <n v="1"/>
  </r>
  <r>
    <x v="27"/>
    <x v="3"/>
    <x v="94"/>
    <n v="0"/>
    <n v="1"/>
  </r>
  <r>
    <x v="27"/>
    <x v="3"/>
    <x v="53"/>
    <n v="0"/>
    <n v="1"/>
  </r>
  <r>
    <x v="27"/>
    <x v="4"/>
    <x v="53"/>
    <n v="0"/>
    <n v="1"/>
  </r>
  <r>
    <x v="27"/>
    <x v="4"/>
    <x v="59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98412-736C-4019-953F-6379723055A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M27" firstHeaderRow="0" firstDataRow="1" firstDataCol="1" rowPageCount="1" colPageCount="1"/>
  <pivotFields count="5">
    <pivotField dataField="1" showAll="0">
      <items count="29">
        <item x="1"/>
        <item x="12"/>
        <item x="6"/>
        <item x="11"/>
        <item x="17"/>
        <item x="18"/>
        <item x="26"/>
        <item x="16"/>
        <item x="4"/>
        <item x="19"/>
        <item x="14"/>
        <item x="27"/>
        <item x="25"/>
        <item x="23"/>
        <item x="13"/>
        <item x="3"/>
        <item x="21"/>
        <item x="7"/>
        <item x="22"/>
        <item x="15"/>
        <item x="5"/>
        <item x="0"/>
        <item x="2"/>
        <item x="10"/>
        <item x="20"/>
        <item x="24"/>
        <item x="9"/>
        <item x="8"/>
        <item t="default"/>
      </items>
    </pivotField>
    <pivotField axis="axisPage" multipleItemSelectionAllowed="1" showAll="0">
      <items count="7">
        <item x="5"/>
        <item x="0"/>
        <item h="1" x="1"/>
        <item h="1" x="2"/>
        <item h="1" x="3"/>
        <item h="1" x="4"/>
        <item t="default"/>
      </items>
    </pivotField>
    <pivotField axis="axisRow" showAll="0">
      <items count="96">
        <item x="67"/>
        <item x="5"/>
        <item x="93"/>
        <item x="6"/>
        <item x="60"/>
        <item x="14"/>
        <item x="81"/>
        <item x="46"/>
        <item x="28"/>
        <item x="13"/>
        <item x="2"/>
        <item x="30"/>
        <item x="38"/>
        <item x="91"/>
        <item x="63"/>
        <item x="20"/>
        <item x="33"/>
        <item x="22"/>
        <item x="48"/>
        <item x="82"/>
        <item x="10"/>
        <item x="94"/>
        <item x="29"/>
        <item x="21"/>
        <item x="54"/>
        <item x="45"/>
        <item x="85"/>
        <item x="12"/>
        <item x="18"/>
        <item x="58"/>
        <item x="65"/>
        <item x="89"/>
        <item x="27"/>
        <item x="17"/>
        <item x="37"/>
        <item x="78"/>
        <item x="69"/>
        <item x="57"/>
        <item x="25"/>
        <item x="84"/>
        <item x="23"/>
        <item x="39"/>
        <item x="40"/>
        <item x="41"/>
        <item x="9"/>
        <item x="4"/>
        <item x="90"/>
        <item x="0"/>
        <item x="32"/>
        <item x="42"/>
        <item x="66"/>
        <item x="34"/>
        <item x="52"/>
        <item x="7"/>
        <item x="87"/>
        <item x="16"/>
        <item x="92"/>
        <item x="77"/>
        <item x="59"/>
        <item x="79"/>
        <item x="11"/>
        <item x="36"/>
        <item x="49"/>
        <item x="15"/>
        <item x="61"/>
        <item x="86"/>
        <item x="47"/>
        <item x="71"/>
        <item x="73"/>
        <item x="68"/>
        <item x="53"/>
        <item x="44"/>
        <item x="31"/>
        <item x="83"/>
        <item x="64"/>
        <item x="56"/>
        <item x="70"/>
        <item x="8"/>
        <item x="55"/>
        <item x="35"/>
        <item x="24"/>
        <item x="3"/>
        <item x="1"/>
        <item x="74"/>
        <item x="19"/>
        <item x="50"/>
        <item x="51"/>
        <item x="88"/>
        <item x="72"/>
        <item x="26"/>
        <item x="43"/>
        <item x="80"/>
        <item x="75"/>
        <item x="62"/>
        <item x="76"/>
        <item t="default"/>
      </items>
    </pivotField>
    <pivotField dataField="1" showAll="0"/>
    <pivotField dataField="1" showAll="0"/>
  </pivotFields>
  <rowFields count="1">
    <field x="2"/>
  </rowFields>
  <rowItems count="24">
    <i>
      <x/>
    </i>
    <i>
      <x v="3"/>
    </i>
    <i>
      <x v="4"/>
    </i>
    <i>
      <x v="5"/>
    </i>
    <i>
      <x v="8"/>
    </i>
    <i>
      <x v="11"/>
    </i>
    <i>
      <x v="12"/>
    </i>
    <i>
      <x v="14"/>
    </i>
    <i>
      <x v="18"/>
    </i>
    <i>
      <x v="23"/>
    </i>
    <i>
      <x v="26"/>
    </i>
    <i>
      <x v="34"/>
    </i>
    <i>
      <x v="39"/>
    </i>
    <i>
      <x v="44"/>
    </i>
    <i>
      <x v="47"/>
    </i>
    <i>
      <x v="52"/>
    </i>
    <i>
      <x v="58"/>
    </i>
    <i>
      <x v="59"/>
    </i>
    <i>
      <x v="63"/>
    </i>
    <i>
      <x v="66"/>
    </i>
    <i>
      <x v="77"/>
    </i>
    <i>
      <x v="78"/>
    </i>
    <i>
      <x v="8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won" fld="3" baseField="0" baseItem="0"/>
    <dataField name="Sum of nominated" fld="4" baseField="0" baseItem="0"/>
    <dataField name="Count of fil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050A-0222-43B9-A0CD-31D496A0571E}">
  <dimension ref="A1:AK94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B3" sqref="AB3"/>
    </sheetView>
  </sheetViews>
  <sheetFormatPr defaultRowHeight="14.4" x14ac:dyDescent="0.3"/>
  <cols>
    <col min="1" max="1" width="17.88671875" bestFit="1" customWidth="1"/>
    <col min="2" max="2" width="11" customWidth="1"/>
    <col min="3" max="3" width="16.21875" bestFit="1" customWidth="1"/>
    <col min="4" max="4" width="3" bestFit="1" customWidth="1"/>
    <col min="5" max="5" width="17.33203125" customWidth="1"/>
    <col min="6" max="6" width="4.33203125" customWidth="1"/>
    <col min="7" max="7" width="17.44140625" customWidth="1"/>
    <col min="8" max="8" width="4" bestFit="1" customWidth="1"/>
    <col min="9" max="10" width="16.88671875" bestFit="1" customWidth="1"/>
    <col min="11" max="11" width="11" bestFit="1" customWidth="1"/>
    <col min="12" max="12" width="2.21875" customWidth="1"/>
    <col min="13" max="13" width="15.5546875" bestFit="1" customWidth="1"/>
    <col min="14" max="14" width="15.88671875" customWidth="1"/>
    <col min="15" max="16" width="16.6640625" bestFit="1" customWidth="1"/>
    <col min="17" max="17" width="2.33203125" customWidth="1"/>
    <col min="18" max="18" width="16.6640625" bestFit="1" customWidth="1"/>
    <col min="19" max="19" width="11" customWidth="1"/>
    <col min="20" max="20" width="11.5546875" customWidth="1"/>
    <col min="21" max="21" width="15.21875" customWidth="1"/>
    <col min="22" max="22" width="16.33203125" customWidth="1"/>
    <col min="23" max="23" width="2.109375" customWidth="1"/>
    <col min="24" max="24" width="10.6640625" customWidth="1"/>
    <col min="25" max="25" width="10.77734375" hidden="1" customWidth="1"/>
    <col min="26" max="26" width="10.88671875" customWidth="1"/>
    <col min="27" max="27" width="11.21875" hidden="1" customWidth="1"/>
    <col min="28" max="28" width="10.33203125" bestFit="1" customWidth="1"/>
    <col min="29" max="29" width="14.21875" hidden="1" customWidth="1"/>
    <col min="30" max="30" width="2.21875" customWidth="1"/>
    <col min="31" max="31" width="15.21875" customWidth="1"/>
    <col min="32" max="32" width="10.77734375" customWidth="1"/>
    <col min="33" max="33" width="2.21875" customWidth="1"/>
    <col min="34" max="34" width="35.33203125" customWidth="1"/>
    <col min="35" max="36" width="2.109375" hidden="1" customWidth="1"/>
    <col min="37" max="37" width="2" hidden="1" customWidth="1"/>
  </cols>
  <sheetData>
    <row r="1" spans="1:37" x14ac:dyDescent="0.3">
      <c r="A1" s="25"/>
      <c r="B1" s="71" t="s">
        <v>54</v>
      </c>
      <c r="C1" s="72"/>
      <c r="D1" s="72"/>
      <c r="E1" s="72"/>
      <c r="F1" s="72"/>
      <c r="G1" s="72"/>
      <c r="H1" s="72"/>
      <c r="I1" s="72"/>
      <c r="J1" s="72"/>
      <c r="K1" s="73"/>
      <c r="L1" s="27"/>
      <c r="M1" s="70" t="s">
        <v>55</v>
      </c>
      <c r="N1" s="70"/>
      <c r="O1" s="70"/>
      <c r="P1" s="70"/>
      <c r="Q1" s="21"/>
      <c r="R1" s="70" t="s">
        <v>56</v>
      </c>
      <c r="S1" s="70"/>
      <c r="T1" s="70"/>
      <c r="U1" s="70"/>
      <c r="V1" s="70"/>
      <c r="W1" s="21"/>
      <c r="X1" s="70" t="s">
        <v>57</v>
      </c>
      <c r="Y1" s="70"/>
      <c r="Z1" s="70"/>
      <c r="AA1" s="70"/>
      <c r="AB1" s="70"/>
      <c r="AC1" s="70"/>
      <c r="AD1" s="2"/>
      <c r="AE1" s="70" t="s">
        <v>63</v>
      </c>
      <c r="AF1" s="70"/>
      <c r="AG1" s="2"/>
      <c r="AH1" s="26" t="s">
        <v>91</v>
      </c>
      <c r="AI1" s="2"/>
      <c r="AJ1" s="2"/>
      <c r="AK1" s="2"/>
    </row>
    <row r="2" spans="1:37" s="1" customFormat="1" ht="62.4" customHeight="1" x14ac:dyDescent="0.3">
      <c r="A2" s="20" t="s">
        <v>30</v>
      </c>
      <c r="B2" s="48" t="s">
        <v>47</v>
      </c>
      <c r="C2" s="69" t="s">
        <v>200</v>
      </c>
      <c r="D2" s="69"/>
      <c r="E2" s="69" t="s">
        <v>201</v>
      </c>
      <c r="F2" s="69"/>
      <c r="G2" s="83" t="s">
        <v>60</v>
      </c>
      <c r="H2" s="84"/>
      <c r="I2" s="54" t="s">
        <v>48</v>
      </c>
      <c r="J2" s="76" t="s">
        <v>49</v>
      </c>
      <c r="K2" s="77"/>
      <c r="L2" s="55"/>
      <c r="M2" s="54" t="s">
        <v>31</v>
      </c>
      <c r="N2" s="54" t="s">
        <v>35</v>
      </c>
      <c r="O2" s="54" t="s">
        <v>36</v>
      </c>
      <c r="P2" s="54" t="s">
        <v>32</v>
      </c>
      <c r="Q2" s="56"/>
      <c r="R2" s="57" t="s">
        <v>38</v>
      </c>
      <c r="S2" s="54" t="s">
        <v>0</v>
      </c>
      <c r="T2" s="54" t="s">
        <v>1</v>
      </c>
      <c r="U2" s="54" t="s">
        <v>37</v>
      </c>
      <c r="V2" s="54" t="s">
        <v>34</v>
      </c>
      <c r="W2" s="55"/>
      <c r="X2" s="48" t="s">
        <v>211</v>
      </c>
      <c r="Y2" s="48" t="s">
        <v>50</v>
      </c>
      <c r="Z2" s="48" t="s">
        <v>212</v>
      </c>
      <c r="AA2" s="48" t="s">
        <v>52</v>
      </c>
      <c r="AB2" s="48" t="s">
        <v>213</v>
      </c>
      <c r="AC2" s="48" t="s">
        <v>51</v>
      </c>
      <c r="AD2" s="58"/>
      <c r="AE2" s="48" t="s">
        <v>64</v>
      </c>
      <c r="AF2" s="48" t="s">
        <v>65</v>
      </c>
      <c r="AG2" s="58"/>
      <c r="AH2" s="48" t="s">
        <v>92</v>
      </c>
      <c r="AI2" s="29" t="s">
        <v>44</v>
      </c>
      <c r="AJ2" s="29" t="s">
        <v>59</v>
      </c>
      <c r="AK2" s="29" t="s">
        <v>33</v>
      </c>
    </row>
    <row r="3" spans="1:37" x14ac:dyDescent="0.3">
      <c r="A3" s="2" t="s">
        <v>2</v>
      </c>
      <c r="B3" s="10">
        <v>35025</v>
      </c>
      <c r="C3" s="78" t="str">
        <f t="shared" ref="C3:C30" si="0">TEXT(B3,"ddd")</f>
        <v>Wed</v>
      </c>
      <c r="D3" s="79"/>
      <c r="E3" s="68" t="str">
        <f>TEXT(B3,"mmm")</f>
        <v>Nov</v>
      </c>
      <c r="F3" s="68"/>
      <c r="G3" s="85" t="s">
        <v>58</v>
      </c>
      <c r="H3" s="86"/>
      <c r="I3" s="2">
        <v>81</v>
      </c>
      <c r="J3" s="74" t="s">
        <v>45</v>
      </c>
      <c r="K3" s="75"/>
      <c r="L3" s="11"/>
      <c r="M3" s="5">
        <v>30000000</v>
      </c>
      <c r="N3" s="5">
        <v>223225679</v>
      </c>
      <c r="O3" s="5">
        <v>171210907</v>
      </c>
      <c r="P3" s="5">
        <v>394436586</v>
      </c>
      <c r="Q3" s="11"/>
      <c r="R3" s="5">
        <f>P3-M3</f>
        <v>364436586</v>
      </c>
      <c r="S3" s="3">
        <f t="shared" ref="S3:S30" si="1">M3/P3</f>
        <v>7.6057853314854526E-2</v>
      </c>
      <c r="T3" s="3">
        <f t="shared" ref="T3:T30" si="2">P3/M3</f>
        <v>13.1478862</v>
      </c>
      <c r="U3" s="4">
        <f t="shared" ref="U3:U30" si="3">N3/P3</f>
        <v>0.56593553164969335</v>
      </c>
      <c r="V3" s="4">
        <f>O3/P3</f>
        <v>0.43406446835030665</v>
      </c>
      <c r="W3" s="15"/>
      <c r="X3" s="2">
        <v>100</v>
      </c>
      <c r="Y3" s="2">
        <v>96</v>
      </c>
      <c r="Z3" s="2">
        <v>95</v>
      </c>
      <c r="AA3" s="2">
        <v>26</v>
      </c>
      <c r="AB3" s="2">
        <v>8.3000000000000007</v>
      </c>
      <c r="AC3" s="2">
        <v>1089101</v>
      </c>
      <c r="AD3" s="11"/>
      <c r="AE3" s="2">
        <v>1</v>
      </c>
      <c r="AF3" s="2">
        <v>3</v>
      </c>
      <c r="AG3" s="11"/>
      <c r="AH3" s="2" t="s">
        <v>66</v>
      </c>
      <c r="AI3" s="24" t="str">
        <f t="shared" ref="AI3:AI30" si="4">A3</f>
        <v>Toy Story</v>
      </c>
      <c r="AJ3" s="23"/>
      <c r="AK3" s="23" t="str">
        <f t="shared" ref="AK3:AK30" si="5">IF(N3+O3=P3, "US + Canada + rest of world = worldwide", "error in data - US + Canada + ROW does not equal worldwide box office sales")</f>
        <v>US + Canada + rest of world = worldwide</v>
      </c>
    </row>
    <row r="4" spans="1:37" x14ac:dyDescent="0.3">
      <c r="A4" s="2" t="s">
        <v>3</v>
      </c>
      <c r="B4" s="10">
        <v>36124</v>
      </c>
      <c r="C4" s="78" t="str">
        <f t="shared" si="0"/>
        <v>Wed</v>
      </c>
      <c r="D4" s="79"/>
      <c r="E4" s="68" t="str">
        <f t="shared" ref="E4:E30" si="6">TEXT(B4,"mmm")</f>
        <v>Nov</v>
      </c>
      <c r="F4" s="68"/>
      <c r="G4" s="87">
        <f t="shared" ref="G4:G30" si="7">DATEDIF(B3,B4,"d")</f>
        <v>1099</v>
      </c>
      <c r="H4" s="88"/>
      <c r="I4" s="2">
        <v>95</v>
      </c>
      <c r="J4" s="74" t="s">
        <v>45</v>
      </c>
      <c r="K4" s="75"/>
      <c r="L4" s="11"/>
      <c r="M4" s="5">
        <v>120000000</v>
      </c>
      <c r="N4" s="5">
        <v>162798565</v>
      </c>
      <c r="O4" s="5">
        <v>200460294</v>
      </c>
      <c r="P4" s="5">
        <v>363258859</v>
      </c>
      <c r="Q4" s="11"/>
      <c r="R4" s="5">
        <f t="shared" ref="R4:R30" si="8">P4-M4</f>
        <v>243258859</v>
      </c>
      <c r="S4" s="3">
        <f t="shared" si="1"/>
        <v>0.33034294147799437</v>
      </c>
      <c r="T4" s="3">
        <f t="shared" si="2"/>
        <v>3.0271571583333334</v>
      </c>
      <c r="U4" s="4">
        <f t="shared" si="3"/>
        <v>0.4481613069208038</v>
      </c>
      <c r="V4" s="4">
        <f t="shared" ref="V4:V30" si="9">O4/P4</f>
        <v>0.5518386930791962</v>
      </c>
      <c r="W4" s="15"/>
      <c r="X4" s="2">
        <v>92</v>
      </c>
      <c r="Y4" s="2">
        <v>91</v>
      </c>
      <c r="Z4" s="2">
        <v>78</v>
      </c>
      <c r="AA4" s="2">
        <v>23</v>
      </c>
      <c r="AB4" s="2">
        <v>7.2</v>
      </c>
      <c r="AC4" s="2">
        <v>319596</v>
      </c>
      <c r="AD4" s="11"/>
      <c r="AE4" s="2">
        <v>0</v>
      </c>
      <c r="AF4" s="2">
        <v>1</v>
      </c>
      <c r="AG4" s="11"/>
      <c r="AH4" s="2" t="s">
        <v>67</v>
      </c>
      <c r="AI4" s="24" t="str">
        <f t="shared" si="4"/>
        <v>A Bug's Life</v>
      </c>
      <c r="AJ4" s="23" t="str">
        <f t="shared" ref="AJ4:AJ30" si="10">A3</f>
        <v>Toy Story</v>
      </c>
      <c r="AK4" s="23" t="str">
        <f t="shared" si="5"/>
        <v>US + Canada + rest of world = worldwide</v>
      </c>
    </row>
    <row r="5" spans="1:37" x14ac:dyDescent="0.3">
      <c r="A5" s="2" t="s">
        <v>4</v>
      </c>
      <c r="B5" s="10">
        <v>36488</v>
      </c>
      <c r="C5" s="78" t="str">
        <f t="shared" si="0"/>
        <v>Wed</v>
      </c>
      <c r="D5" s="79"/>
      <c r="E5" s="68" t="str">
        <f t="shared" si="6"/>
        <v>Nov</v>
      </c>
      <c r="F5" s="68"/>
      <c r="G5" s="87">
        <f t="shared" si="7"/>
        <v>364</v>
      </c>
      <c r="H5" s="88"/>
      <c r="I5" s="2">
        <v>92</v>
      </c>
      <c r="J5" s="74" t="s">
        <v>45</v>
      </c>
      <c r="K5" s="75"/>
      <c r="L5" s="11"/>
      <c r="M5" s="5">
        <v>90000000</v>
      </c>
      <c r="N5" s="5">
        <v>245852179</v>
      </c>
      <c r="O5" s="5">
        <v>265506097</v>
      </c>
      <c r="P5" s="5">
        <v>511358276</v>
      </c>
      <c r="Q5" s="11"/>
      <c r="R5" s="5">
        <f t="shared" si="8"/>
        <v>421358276</v>
      </c>
      <c r="S5" s="3">
        <f t="shared" si="1"/>
        <v>0.17600184493738397</v>
      </c>
      <c r="T5" s="3">
        <f t="shared" si="2"/>
        <v>5.6817586222222225</v>
      </c>
      <c r="U5" s="4">
        <f t="shared" si="3"/>
        <v>0.48078263428751078</v>
      </c>
      <c r="V5" s="4">
        <f t="shared" si="9"/>
        <v>0.51921736571248922</v>
      </c>
      <c r="W5" s="15"/>
      <c r="X5" s="2">
        <v>100</v>
      </c>
      <c r="Y5" s="2">
        <v>172</v>
      </c>
      <c r="Z5" s="2">
        <v>88</v>
      </c>
      <c r="AA5" s="2">
        <v>34</v>
      </c>
      <c r="AB5" s="2">
        <v>7.9</v>
      </c>
      <c r="AC5" s="2">
        <v>630573</v>
      </c>
      <c r="AD5" s="11"/>
      <c r="AE5" s="2">
        <v>0</v>
      </c>
      <c r="AF5" s="2">
        <v>1</v>
      </c>
      <c r="AG5" s="11"/>
      <c r="AH5" s="2" t="s">
        <v>68</v>
      </c>
      <c r="AI5" s="24" t="str">
        <f t="shared" si="4"/>
        <v>Toy Story 2</v>
      </c>
      <c r="AJ5" s="23" t="str">
        <f t="shared" si="10"/>
        <v>A Bug's Life</v>
      </c>
      <c r="AK5" s="23" t="str">
        <f t="shared" si="5"/>
        <v>US + Canada + rest of world = worldwide</v>
      </c>
    </row>
    <row r="6" spans="1:37" x14ac:dyDescent="0.3">
      <c r="A6" s="2" t="s">
        <v>5</v>
      </c>
      <c r="B6" s="10">
        <v>37197</v>
      </c>
      <c r="C6" s="78" t="str">
        <f t="shared" si="0"/>
        <v>Fri</v>
      </c>
      <c r="D6" s="79"/>
      <c r="E6" s="68" t="str">
        <f t="shared" si="6"/>
        <v>Nov</v>
      </c>
      <c r="F6" s="68"/>
      <c r="G6" s="87">
        <f t="shared" si="7"/>
        <v>709</v>
      </c>
      <c r="H6" s="88"/>
      <c r="I6" s="2">
        <v>92</v>
      </c>
      <c r="J6" s="74" t="s">
        <v>45</v>
      </c>
      <c r="K6" s="75"/>
      <c r="L6" s="11"/>
      <c r="M6" s="5">
        <v>115000000</v>
      </c>
      <c r="N6" s="5">
        <v>255873250</v>
      </c>
      <c r="O6" s="5">
        <v>272900000</v>
      </c>
      <c r="P6" s="5">
        <v>528773250</v>
      </c>
      <c r="Q6" s="11"/>
      <c r="R6" s="5">
        <f t="shared" si="8"/>
        <v>413773250</v>
      </c>
      <c r="S6" s="3">
        <f t="shared" si="1"/>
        <v>0.21748452668511503</v>
      </c>
      <c r="T6" s="3">
        <f t="shared" si="2"/>
        <v>4.5980282608695653</v>
      </c>
      <c r="U6" s="4">
        <f t="shared" si="3"/>
        <v>0.48389976232723575</v>
      </c>
      <c r="V6" s="4">
        <f t="shared" si="9"/>
        <v>0.51610023767276425</v>
      </c>
      <c r="W6" s="15"/>
      <c r="X6" s="2">
        <v>96</v>
      </c>
      <c r="Y6" s="2">
        <v>199</v>
      </c>
      <c r="Z6" s="2">
        <v>79</v>
      </c>
      <c r="AA6" s="2">
        <v>35</v>
      </c>
      <c r="AB6" s="2">
        <v>8.1</v>
      </c>
      <c r="AC6" s="2">
        <v>1000657</v>
      </c>
      <c r="AD6" s="11"/>
      <c r="AE6" s="2">
        <v>1</v>
      </c>
      <c r="AF6" s="2">
        <v>3</v>
      </c>
      <c r="AG6" s="11"/>
      <c r="AH6" s="2" t="s">
        <v>69</v>
      </c>
      <c r="AI6" s="24" t="str">
        <f t="shared" si="4"/>
        <v>Monsters, Inc.</v>
      </c>
      <c r="AJ6" s="23" t="str">
        <f t="shared" si="10"/>
        <v>Toy Story 2</v>
      </c>
      <c r="AK6" s="23" t="str">
        <f t="shared" si="5"/>
        <v>US + Canada + rest of world = worldwide</v>
      </c>
    </row>
    <row r="7" spans="1:37" x14ac:dyDescent="0.3">
      <c r="A7" s="2" t="s">
        <v>6</v>
      </c>
      <c r="B7" s="10">
        <v>37771</v>
      </c>
      <c r="C7" s="78" t="str">
        <f t="shared" si="0"/>
        <v>Fri</v>
      </c>
      <c r="D7" s="79"/>
      <c r="E7" s="68" t="str">
        <f t="shared" si="6"/>
        <v>May</v>
      </c>
      <c r="F7" s="68"/>
      <c r="G7" s="87">
        <f t="shared" si="7"/>
        <v>574</v>
      </c>
      <c r="H7" s="88"/>
      <c r="I7" s="2">
        <v>100</v>
      </c>
      <c r="J7" s="74" t="s">
        <v>45</v>
      </c>
      <c r="K7" s="75"/>
      <c r="L7" s="11"/>
      <c r="M7" s="5">
        <v>94000000</v>
      </c>
      <c r="N7" s="5">
        <v>339714978</v>
      </c>
      <c r="O7" s="5">
        <v>531300000</v>
      </c>
      <c r="P7" s="5">
        <v>871014978</v>
      </c>
      <c r="Q7" s="11"/>
      <c r="R7" s="5">
        <f t="shared" si="8"/>
        <v>777014978</v>
      </c>
      <c r="S7" s="3">
        <f t="shared" si="1"/>
        <v>0.10792007298868746</v>
      </c>
      <c r="T7" s="3">
        <f t="shared" si="2"/>
        <v>9.2661167872340418</v>
      </c>
      <c r="U7" s="4">
        <f t="shared" si="3"/>
        <v>0.39002197043734421</v>
      </c>
      <c r="V7" s="4">
        <f t="shared" si="9"/>
        <v>0.60997802956265579</v>
      </c>
      <c r="W7" s="15"/>
      <c r="X7" s="2">
        <v>99</v>
      </c>
      <c r="Y7" s="2">
        <v>270</v>
      </c>
      <c r="Z7" s="2">
        <v>90</v>
      </c>
      <c r="AA7" s="2">
        <v>38</v>
      </c>
      <c r="AB7" s="2">
        <v>8.1999999999999993</v>
      </c>
      <c r="AC7" s="2">
        <v>1132877</v>
      </c>
      <c r="AD7" s="11"/>
      <c r="AE7" s="2">
        <v>1</v>
      </c>
      <c r="AF7" s="2">
        <v>3</v>
      </c>
      <c r="AG7" s="11"/>
      <c r="AH7" s="2" t="s">
        <v>70</v>
      </c>
      <c r="AI7" s="24" t="str">
        <f t="shared" si="4"/>
        <v>Finding Nemo</v>
      </c>
      <c r="AJ7" s="23" t="str">
        <f t="shared" si="10"/>
        <v>Monsters, Inc.</v>
      </c>
      <c r="AK7" s="23" t="str">
        <f t="shared" si="5"/>
        <v>US + Canada + rest of world = worldwide</v>
      </c>
    </row>
    <row r="8" spans="1:37" x14ac:dyDescent="0.3">
      <c r="A8" s="2" t="s">
        <v>7</v>
      </c>
      <c r="B8" s="10">
        <v>38296</v>
      </c>
      <c r="C8" s="78" t="str">
        <f t="shared" si="0"/>
        <v>Fri</v>
      </c>
      <c r="D8" s="79"/>
      <c r="E8" s="68" t="str">
        <f t="shared" si="6"/>
        <v>Nov</v>
      </c>
      <c r="F8" s="68"/>
      <c r="G8" s="87">
        <f t="shared" si="7"/>
        <v>525</v>
      </c>
      <c r="H8" s="88"/>
      <c r="I8" s="2">
        <v>115</v>
      </c>
      <c r="J8" s="74" t="s">
        <v>46</v>
      </c>
      <c r="K8" s="75"/>
      <c r="L8" s="11"/>
      <c r="M8" s="5">
        <v>92000000</v>
      </c>
      <c r="N8" s="5">
        <v>261441092</v>
      </c>
      <c r="O8" s="5">
        <v>370001000</v>
      </c>
      <c r="P8" s="5">
        <v>631442092</v>
      </c>
      <c r="Q8" s="11"/>
      <c r="R8" s="5">
        <f t="shared" si="8"/>
        <v>539442092</v>
      </c>
      <c r="S8" s="3">
        <f t="shared" si="1"/>
        <v>0.14569823767782653</v>
      </c>
      <c r="T8" s="3">
        <f t="shared" si="2"/>
        <v>6.8635010000000003</v>
      </c>
      <c r="U8" s="4">
        <f t="shared" si="3"/>
        <v>0.4140381126192012</v>
      </c>
      <c r="V8" s="4">
        <f t="shared" si="9"/>
        <v>0.5859618873807988</v>
      </c>
      <c r="W8" s="15"/>
      <c r="X8" s="2">
        <v>97</v>
      </c>
      <c r="Y8" s="2">
        <v>250</v>
      </c>
      <c r="Z8" s="2">
        <v>90</v>
      </c>
      <c r="AA8" s="2">
        <v>41</v>
      </c>
      <c r="AB8" s="2">
        <v>8</v>
      </c>
      <c r="AC8" s="2">
        <v>828986</v>
      </c>
      <c r="AD8" s="11"/>
      <c r="AE8" s="2">
        <v>2</v>
      </c>
      <c r="AF8" s="2">
        <v>2</v>
      </c>
      <c r="AG8" s="11"/>
      <c r="AH8" s="2" t="s">
        <v>71</v>
      </c>
      <c r="AI8" s="24" t="str">
        <f t="shared" si="4"/>
        <v>The Incredibles</v>
      </c>
      <c r="AJ8" s="23" t="str">
        <f t="shared" si="10"/>
        <v>Finding Nemo</v>
      </c>
      <c r="AK8" s="23" t="str">
        <f t="shared" si="5"/>
        <v>US + Canada + rest of world = worldwide</v>
      </c>
    </row>
    <row r="9" spans="1:37" x14ac:dyDescent="0.3">
      <c r="A9" s="2" t="s">
        <v>8</v>
      </c>
      <c r="B9" s="10">
        <v>38877</v>
      </c>
      <c r="C9" s="78" t="str">
        <f t="shared" si="0"/>
        <v>Fri</v>
      </c>
      <c r="D9" s="79"/>
      <c r="E9" s="68" t="str">
        <f t="shared" si="6"/>
        <v>Jun</v>
      </c>
      <c r="F9" s="68"/>
      <c r="G9" s="87">
        <f t="shared" si="7"/>
        <v>581</v>
      </c>
      <c r="H9" s="88"/>
      <c r="I9" s="2">
        <v>116</v>
      </c>
      <c r="J9" s="74" t="s">
        <v>45</v>
      </c>
      <c r="K9" s="75"/>
      <c r="L9" s="11"/>
      <c r="M9" s="5">
        <v>120000000</v>
      </c>
      <c r="N9" s="5">
        <v>244082982</v>
      </c>
      <c r="O9" s="5">
        <v>217900167</v>
      </c>
      <c r="P9" s="5">
        <v>461983149</v>
      </c>
      <c r="Q9" s="11"/>
      <c r="R9" s="5">
        <f t="shared" si="8"/>
        <v>341983149</v>
      </c>
      <c r="S9" s="3">
        <f t="shared" si="1"/>
        <v>0.25974973385879924</v>
      </c>
      <c r="T9" s="3">
        <f t="shared" si="2"/>
        <v>3.849859575</v>
      </c>
      <c r="U9" s="4">
        <f t="shared" si="3"/>
        <v>0.5283374134496841</v>
      </c>
      <c r="V9" s="4">
        <f t="shared" si="9"/>
        <v>0.47166258655031595</v>
      </c>
      <c r="W9" s="15"/>
      <c r="X9" s="2">
        <v>75</v>
      </c>
      <c r="Y9" s="2">
        <v>204</v>
      </c>
      <c r="Z9" s="2">
        <v>73</v>
      </c>
      <c r="AA9" s="2">
        <v>39</v>
      </c>
      <c r="AB9" s="2">
        <v>7.2</v>
      </c>
      <c r="AC9" s="2">
        <v>484034</v>
      </c>
      <c r="AD9" s="11"/>
      <c r="AE9" s="2">
        <v>0</v>
      </c>
      <c r="AF9" s="2">
        <v>2</v>
      </c>
      <c r="AG9" s="11"/>
      <c r="AH9" s="2" t="s">
        <v>72</v>
      </c>
      <c r="AI9" s="24" t="str">
        <f t="shared" si="4"/>
        <v>Cars</v>
      </c>
      <c r="AJ9" s="23" t="str">
        <f t="shared" si="10"/>
        <v>The Incredibles</v>
      </c>
      <c r="AK9" s="23" t="str">
        <f t="shared" si="5"/>
        <v>US + Canada + rest of world = worldwide</v>
      </c>
    </row>
    <row r="10" spans="1:37" x14ac:dyDescent="0.3">
      <c r="A10" s="2" t="s">
        <v>9</v>
      </c>
      <c r="B10" s="10">
        <v>39262</v>
      </c>
      <c r="C10" s="78" t="str">
        <f t="shared" si="0"/>
        <v>Fri</v>
      </c>
      <c r="D10" s="79"/>
      <c r="E10" s="68" t="str">
        <f t="shared" si="6"/>
        <v>Jun</v>
      </c>
      <c r="F10" s="68"/>
      <c r="G10" s="87">
        <f t="shared" si="7"/>
        <v>385</v>
      </c>
      <c r="H10" s="88"/>
      <c r="I10" s="2">
        <v>111</v>
      </c>
      <c r="J10" s="74" t="s">
        <v>45</v>
      </c>
      <c r="K10" s="75"/>
      <c r="L10" s="11"/>
      <c r="M10" s="5">
        <v>150000000</v>
      </c>
      <c r="N10" s="5">
        <v>206445654</v>
      </c>
      <c r="O10" s="5">
        <v>417280431</v>
      </c>
      <c r="P10" s="5">
        <v>623726085</v>
      </c>
      <c r="Q10" s="11"/>
      <c r="R10" s="5">
        <f t="shared" si="8"/>
        <v>473726085</v>
      </c>
      <c r="S10" s="3">
        <f t="shared" si="1"/>
        <v>0.24049018248130508</v>
      </c>
      <c r="T10" s="3">
        <f t="shared" si="2"/>
        <v>4.1581739000000004</v>
      </c>
      <c r="U10" s="4">
        <f t="shared" si="3"/>
        <v>0.33098768668621581</v>
      </c>
      <c r="V10" s="4">
        <f t="shared" si="9"/>
        <v>0.66901231331378419</v>
      </c>
      <c r="W10" s="15"/>
      <c r="X10" s="2">
        <v>96</v>
      </c>
      <c r="Y10" s="2">
        <v>253</v>
      </c>
      <c r="Z10" s="2">
        <v>96</v>
      </c>
      <c r="AA10" s="2">
        <v>37</v>
      </c>
      <c r="AB10" s="2">
        <v>8.1</v>
      </c>
      <c r="AC10" s="2">
        <v>851229</v>
      </c>
      <c r="AD10" s="11"/>
      <c r="AE10" s="2">
        <v>1</v>
      </c>
      <c r="AF10" s="2">
        <v>4</v>
      </c>
      <c r="AG10" s="11"/>
      <c r="AH10" s="2" t="s">
        <v>73</v>
      </c>
      <c r="AI10" s="24" t="str">
        <f t="shared" si="4"/>
        <v>Ratatouille</v>
      </c>
      <c r="AJ10" s="23" t="str">
        <f t="shared" si="10"/>
        <v>Cars</v>
      </c>
      <c r="AK10" s="23" t="str">
        <f t="shared" si="5"/>
        <v>US + Canada + rest of world = worldwide</v>
      </c>
    </row>
    <row r="11" spans="1:37" x14ac:dyDescent="0.3">
      <c r="A11" s="2" t="s">
        <v>10</v>
      </c>
      <c r="B11" s="10">
        <v>39626</v>
      </c>
      <c r="C11" s="78" t="str">
        <f t="shared" si="0"/>
        <v>Fri</v>
      </c>
      <c r="D11" s="79"/>
      <c r="E11" s="68" t="str">
        <f t="shared" si="6"/>
        <v>Jun</v>
      </c>
      <c r="F11" s="68"/>
      <c r="G11" s="87">
        <f t="shared" si="7"/>
        <v>364</v>
      </c>
      <c r="H11" s="88"/>
      <c r="I11" s="2">
        <v>98</v>
      </c>
      <c r="J11" s="74" t="s">
        <v>45</v>
      </c>
      <c r="K11" s="75"/>
      <c r="L11" s="11"/>
      <c r="M11" s="5">
        <v>180000000</v>
      </c>
      <c r="N11" s="5">
        <v>223808164</v>
      </c>
      <c r="O11" s="5">
        <v>297503696</v>
      </c>
      <c r="P11" s="5">
        <v>521311860</v>
      </c>
      <c r="Q11" s="11"/>
      <c r="R11" s="5">
        <f t="shared" si="8"/>
        <v>341311860</v>
      </c>
      <c r="S11" s="3">
        <f t="shared" si="1"/>
        <v>0.34528276414045134</v>
      </c>
      <c r="T11" s="3">
        <f t="shared" si="2"/>
        <v>2.8961769999999998</v>
      </c>
      <c r="U11" s="4">
        <f t="shared" si="3"/>
        <v>0.4293172305728859</v>
      </c>
      <c r="V11" s="4">
        <f t="shared" si="9"/>
        <v>0.57068276942711416</v>
      </c>
      <c r="W11" s="15"/>
      <c r="X11" s="2">
        <v>95</v>
      </c>
      <c r="Y11" s="2">
        <v>261</v>
      </c>
      <c r="Z11" s="2">
        <v>95</v>
      </c>
      <c r="AA11" s="2">
        <v>39</v>
      </c>
      <c r="AB11" s="2">
        <v>8.4</v>
      </c>
      <c r="AC11" s="2">
        <v>1226415</v>
      </c>
      <c r="AD11" s="11"/>
      <c r="AE11" s="2">
        <v>1</v>
      </c>
      <c r="AF11" s="2">
        <v>5</v>
      </c>
      <c r="AG11" s="11"/>
      <c r="AH11" s="2" t="s">
        <v>74</v>
      </c>
      <c r="AI11" s="24" t="str">
        <f t="shared" si="4"/>
        <v>WALL-E</v>
      </c>
      <c r="AJ11" s="23" t="str">
        <f t="shared" si="10"/>
        <v>Ratatouille</v>
      </c>
      <c r="AK11" s="23" t="str">
        <f t="shared" si="5"/>
        <v>US + Canada + rest of world = worldwide</v>
      </c>
    </row>
    <row r="12" spans="1:37" x14ac:dyDescent="0.3">
      <c r="A12" s="2" t="s">
        <v>11</v>
      </c>
      <c r="B12" s="10">
        <v>39962</v>
      </c>
      <c r="C12" s="78" t="str">
        <f t="shared" si="0"/>
        <v>Fri</v>
      </c>
      <c r="D12" s="79"/>
      <c r="E12" s="68" t="str">
        <f t="shared" si="6"/>
        <v>May</v>
      </c>
      <c r="F12" s="68"/>
      <c r="G12" s="87">
        <f t="shared" si="7"/>
        <v>336</v>
      </c>
      <c r="H12" s="88"/>
      <c r="I12" s="2">
        <v>96</v>
      </c>
      <c r="J12" s="74" t="s">
        <v>46</v>
      </c>
      <c r="K12" s="75"/>
      <c r="L12" s="11"/>
      <c r="M12" s="5">
        <v>175000000</v>
      </c>
      <c r="N12" s="5">
        <v>293004164</v>
      </c>
      <c r="O12" s="5">
        <v>442094918</v>
      </c>
      <c r="P12" s="5">
        <v>735099082</v>
      </c>
      <c r="Q12" s="11"/>
      <c r="R12" s="5">
        <f t="shared" si="8"/>
        <v>560099082</v>
      </c>
      <c r="S12" s="3">
        <f t="shared" si="1"/>
        <v>0.2380631458875907</v>
      </c>
      <c r="T12" s="3">
        <f t="shared" si="2"/>
        <v>4.200566182857143</v>
      </c>
      <c r="U12" s="4">
        <f t="shared" si="3"/>
        <v>0.39859138880002032</v>
      </c>
      <c r="V12" s="4">
        <f t="shared" si="9"/>
        <v>0.60140861119997968</v>
      </c>
      <c r="W12" s="15"/>
      <c r="X12" s="2">
        <v>98</v>
      </c>
      <c r="Y12" s="2">
        <v>297</v>
      </c>
      <c r="Z12" s="2">
        <v>88</v>
      </c>
      <c r="AA12" s="2">
        <v>37</v>
      </c>
      <c r="AB12" s="2">
        <v>8.3000000000000007</v>
      </c>
      <c r="AC12" s="2">
        <v>1151249</v>
      </c>
      <c r="AD12" s="11"/>
      <c r="AE12" s="2">
        <v>2</v>
      </c>
      <c r="AF12" s="2">
        <v>3</v>
      </c>
      <c r="AG12" s="11"/>
      <c r="AH12" s="2" t="s">
        <v>75</v>
      </c>
      <c r="AI12" s="24" t="str">
        <f t="shared" si="4"/>
        <v>Up</v>
      </c>
      <c r="AJ12" s="23" t="str">
        <f t="shared" si="10"/>
        <v>WALL-E</v>
      </c>
      <c r="AK12" s="23" t="str">
        <f t="shared" si="5"/>
        <v>US + Canada + rest of world = worldwide</v>
      </c>
    </row>
    <row r="13" spans="1:37" x14ac:dyDescent="0.3">
      <c r="A13" s="2" t="s">
        <v>12</v>
      </c>
      <c r="B13" s="10">
        <v>40347</v>
      </c>
      <c r="C13" s="78" t="str">
        <f t="shared" si="0"/>
        <v>Fri</v>
      </c>
      <c r="D13" s="79"/>
      <c r="E13" s="68" t="str">
        <f t="shared" si="6"/>
        <v>Jun</v>
      </c>
      <c r="F13" s="68"/>
      <c r="G13" s="87">
        <f t="shared" si="7"/>
        <v>385</v>
      </c>
      <c r="H13" s="88"/>
      <c r="I13" s="2">
        <v>103</v>
      </c>
      <c r="J13" s="74" t="s">
        <v>45</v>
      </c>
      <c r="K13" s="75"/>
      <c r="L13" s="11"/>
      <c r="M13" s="5">
        <v>200000000</v>
      </c>
      <c r="N13" s="5">
        <v>415004880</v>
      </c>
      <c r="O13" s="5">
        <v>651964823</v>
      </c>
      <c r="P13" s="5">
        <v>1066969703</v>
      </c>
      <c r="Q13" s="11"/>
      <c r="R13" s="5">
        <f t="shared" si="8"/>
        <v>866969703</v>
      </c>
      <c r="S13" s="3">
        <f t="shared" si="1"/>
        <v>0.18744674702351882</v>
      </c>
      <c r="T13" s="3">
        <f t="shared" si="2"/>
        <v>5.334848515</v>
      </c>
      <c r="U13" s="4">
        <f t="shared" si="3"/>
        <v>0.38895657377442888</v>
      </c>
      <c r="V13" s="4">
        <f t="shared" si="9"/>
        <v>0.61104342622557106</v>
      </c>
      <c r="W13" s="15"/>
      <c r="X13" s="2">
        <v>98</v>
      </c>
      <c r="Y13" s="2">
        <v>313</v>
      </c>
      <c r="Z13" s="2">
        <v>92</v>
      </c>
      <c r="AA13" s="2">
        <v>39</v>
      </c>
      <c r="AB13" s="2">
        <v>8.3000000000000007</v>
      </c>
      <c r="AC13" s="2">
        <v>908222</v>
      </c>
      <c r="AD13" s="11"/>
      <c r="AE13" s="2">
        <v>2</v>
      </c>
      <c r="AF13" s="2">
        <v>3</v>
      </c>
      <c r="AG13" s="11"/>
      <c r="AH13" s="2" t="s">
        <v>76</v>
      </c>
      <c r="AI13" s="24" t="str">
        <f t="shared" si="4"/>
        <v>Toy Story 3</v>
      </c>
      <c r="AJ13" s="23" t="str">
        <f t="shared" si="10"/>
        <v>Up</v>
      </c>
      <c r="AK13" s="23" t="str">
        <f t="shared" si="5"/>
        <v>US + Canada + rest of world = worldwide</v>
      </c>
    </row>
    <row r="14" spans="1:37" x14ac:dyDescent="0.3">
      <c r="A14" s="2" t="s">
        <v>13</v>
      </c>
      <c r="B14" s="10">
        <v>40718</v>
      </c>
      <c r="C14" s="78" t="str">
        <f t="shared" si="0"/>
        <v>Fri</v>
      </c>
      <c r="D14" s="79"/>
      <c r="E14" s="68" t="str">
        <f t="shared" si="6"/>
        <v>Jun</v>
      </c>
      <c r="F14" s="68"/>
      <c r="G14" s="87">
        <f t="shared" si="7"/>
        <v>371</v>
      </c>
      <c r="H14" s="88"/>
      <c r="I14" s="2">
        <v>106</v>
      </c>
      <c r="J14" s="74" t="s">
        <v>45</v>
      </c>
      <c r="K14" s="75"/>
      <c r="L14" s="11"/>
      <c r="M14" s="5">
        <v>200000000</v>
      </c>
      <c r="N14" s="5">
        <v>191452396</v>
      </c>
      <c r="O14" s="5">
        <v>368400000</v>
      </c>
      <c r="P14" s="5">
        <v>559852396</v>
      </c>
      <c r="Q14" s="11"/>
      <c r="R14" s="5">
        <f t="shared" si="8"/>
        <v>359852396</v>
      </c>
      <c r="S14" s="3">
        <f t="shared" si="1"/>
        <v>0.35723701716550305</v>
      </c>
      <c r="T14" s="3">
        <f t="shared" si="2"/>
        <v>2.7992619799999998</v>
      </c>
      <c r="U14" s="4">
        <f t="shared" si="3"/>
        <v>0.34196941438114342</v>
      </c>
      <c r="V14" s="4">
        <f t="shared" si="9"/>
        <v>0.65803058561885663</v>
      </c>
      <c r="W14" s="15"/>
      <c r="X14" s="2">
        <v>40</v>
      </c>
      <c r="Y14" s="2">
        <v>220</v>
      </c>
      <c r="Z14" s="2">
        <v>57</v>
      </c>
      <c r="AA14" s="2">
        <v>38</v>
      </c>
      <c r="AB14" s="2">
        <v>6.2</v>
      </c>
      <c r="AC14" s="2">
        <v>225724</v>
      </c>
      <c r="AD14" s="11"/>
      <c r="AE14" s="2">
        <v>0</v>
      </c>
      <c r="AF14" s="2">
        <v>0</v>
      </c>
      <c r="AG14" s="11"/>
      <c r="AH14" s="2" t="s">
        <v>77</v>
      </c>
      <c r="AI14" s="24" t="str">
        <f t="shared" si="4"/>
        <v>Cars 2</v>
      </c>
      <c r="AJ14" s="23" t="str">
        <f t="shared" si="10"/>
        <v>Toy Story 3</v>
      </c>
      <c r="AK14" s="23" t="str">
        <f t="shared" si="5"/>
        <v>US + Canada + rest of world = worldwide</v>
      </c>
    </row>
    <row r="15" spans="1:37" x14ac:dyDescent="0.3">
      <c r="A15" s="2" t="s">
        <v>14</v>
      </c>
      <c r="B15" s="10">
        <v>41082</v>
      </c>
      <c r="C15" s="78" t="str">
        <f t="shared" si="0"/>
        <v>Fri</v>
      </c>
      <c r="D15" s="79"/>
      <c r="E15" s="68" t="str">
        <f t="shared" si="6"/>
        <v>Jun</v>
      </c>
      <c r="F15" s="68"/>
      <c r="G15" s="87">
        <f t="shared" si="7"/>
        <v>364</v>
      </c>
      <c r="H15" s="88"/>
      <c r="I15" s="2">
        <v>93</v>
      </c>
      <c r="J15" s="74" t="s">
        <v>46</v>
      </c>
      <c r="K15" s="75"/>
      <c r="L15" s="11"/>
      <c r="M15" s="5">
        <v>185000000</v>
      </c>
      <c r="N15" s="5">
        <v>237283207</v>
      </c>
      <c r="O15" s="5">
        <v>301700000</v>
      </c>
      <c r="P15" s="5">
        <v>538983207</v>
      </c>
      <c r="Q15" s="11"/>
      <c r="R15" s="5">
        <f t="shared" si="8"/>
        <v>353983207</v>
      </c>
      <c r="S15" s="3">
        <f t="shared" si="1"/>
        <v>0.34323889426855558</v>
      </c>
      <c r="T15" s="3">
        <f t="shared" si="2"/>
        <v>2.9134227405405406</v>
      </c>
      <c r="U15" s="4">
        <f t="shared" si="3"/>
        <v>0.4402423005360907</v>
      </c>
      <c r="V15" s="4">
        <f t="shared" si="9"/>
        <v>0.5597576994639093</v>
      </c>
      <c r="W15" s="15"/>
      <c r="X15" s="2">
        <v>79</v>
      </c>
      <c r="Y15" s="2">
        <v>256</v>
      </c>
      <c r="Z15" s="2">
        <v>69</v>
      </c>
      <c r="AA15" s="2">
        <v>37</v>
      </c>
      <c r="AB15" s="2">
        <v>7.1</v>
      </c>
      <c r="AC15" s="2">
        <v>452012</v>
      </c>
      <c r="AD15" s="11"/>
      <c r="AE15" s="2">
        <v>1</v>
      </c>
      <c r="AF15" s="2">
        <v>0</v>
      </c>
      <c r="AG15" s="11"/>
      <c r="AH15" s="2" t="s">
        <v>90</v>
      </c>
      <c r="AI15" s="24" t="str">
        <f t="shared" si="4"/>
        <v>Brave</v>
      </c>
      <c r="AJ15" s="23" t="str">
        <f t="shared" si="10"/>
        <v>Cars 2</v>
      </c>
      <c r="AK15" s="23" t="str">
        <f t="shared" si="5"/>
        <v>US + Canada + rest of world = worldwide</v>
      </c>
    </row>
    <row r="16" spans="1:37" x14ac:dyDescent="0.3">
      <c r="A16" s="2" t="s">
        <v>15</v>
      </c>
      <c r="B16" s="10">
        <v>41446</v>
      </c>
      <c r="C16" s="78" t="str">
        <f t="shared" si="0"/>
        <v>Fri</v>
      </c>
      <c r="D16" s="79"/>
      <c r="E16" s="68" t="str">
        <f t="shared" si="6"/>
        <v>Jun</v>
      </c>
      <c r="F16" s="68"/>
      <c r="G16" s="87">
        <f t="shared" si="7"/>
        <v>364</v>
      </c>
      <c r="H16" s="88"/>
      <c r="I16" s="2">
        <v>104</v>
      </c>
      <c r="J16" s="74" t="s">
        <v>45</v>
      </c>
      <c r="K16" s="75"/>
      <c r="L16" s="11"/>
      <c r="M16" s="5">
        <v>200000000</v>
      </c>
      <c r="N16" s="5">
        <v>268492764</v>
      </c>
      <c r="O16" s="5">
        <v>475066843</v>
      </c>
      <c r="P16" s="5">
        <v>743559607</v>
      </c>
      <c r="Q16" s="11"/>
      <c r="R16" s="5">
        <f t="shared" si="8"/>
        <v>543559607</v>
      </c>
      <c r="S16" s="3">
        <f t="shared" si="1"/>
        <v>0.26897641845679227</v>
      </c>
      <c r="T16" s="3">
        <f t="shared" si="2"/>
        <v>3.7177980349999999</v>
      </c>
      <c r="U16" s="4">
        <f t="shared" si="3"/>
        <v>0.36109111021142382</v>
      </c>
      <c r="V16" s="4">
        <f t="shared" si="9"/>
        <v>0.63890888978857618</v>
      </c>
      <c r="W16" s="15"/>
      <c r="X16" s="2">
        <v>80</v>
      </c>
      <c r="Y16" s="2">
        <v>203</v>
      </c>
      <c r="Z16" s="2">
        <v>65</v>
      </c>
      <c r="AA16" s="2">
        <v>41</v>
      </c>
      <c r="AB16" s="2">
        <v>7.2</v>
      </c>
      <c r="AC16" s="2">
        <v>398903</v>
      </c>
      <c r="AD16" s="11"/>
      <c r="AE16" s="2">
        <v>0</v>
      </c>
      <c r="AF16" s="2">
        <v>0</v>
      </c>
      <c r="AG16" s="11"/>
      <c r="AH16" s="2" t="s">
        <v>78</v>
      </c>
      <c r="AI16" s="24" t="str">
        <f t="shared" si="4"/>
        <v>Monsters University</v>
      </c>
      <c r="AJ16" s="23" t="str">
        <f t="shared" si="10"/>
        <v>Brave</v>
      </c>
      <c r="AK16" s="23" t="str">
        <f t="shared" si="5"/>
        <v>US + Canada + rest of world = worldwide</v>
      </c>
    </row>
    <row r="17" spans="1:37" x14ac:dyDescent="0.3">
      <c r="A17" s="2" t="s">
        <v>16</v>
      </c>
      <c r="B17" s="10">
        <v>42174</v>
      </c>
      <c r="C17" s="78" t="str">
        <f t="shared" si="0"/>
        <v>Fri</v>
      </c>
      <c r="D17" s="79"/>
      <c r="E17" s="68" t="str">
        <f t="shared" si="6"/>
        <v>Jun</v>
      </c>
      <c r="F17" s="68"/>
      <c r="G17" s="87">
        <f t="shared" si="7"/>
        <v>728</v>
      </c>
      <c r="H17" s="88"/>
      <c r="I17" s="2">
        <v>95</v>
      </c>
      <c r="J17" s="74" t="s">
        <v>46</v>
      </c>
      <c r="K17" s="75"/>
      <c r="L17" s="11"/>
      <c r="M17" s="5">
        <v>175000000</v>
      </c>
      <c r="N17" s="5">
        <v>356461711</v>
      </c>
      <c r="O17" s="5">
        <v>501149463</v>
      </c>
      <c r="P17" s="5">
        <v>857611174</v>
      </c>
      <c r="Q17" s="11"/>
      <c r="R17" s="5">
        <f t="shared" si="8"/>
        <v>682611174</v>
      </c>
      <c r="S17" s="3">
        <f t="shared" si="1"/>
        <v>0.20405517710756879</v>
      </c>
      <c r="T17" s="3">
        <f t="shared" si="2"/>
        <v>4.9006352800000004</v>
      </c>
      <c r="U17" s="4">
        <f t="shared" si="3"/>
        <v>0.4156449004009829</v>
      </c>
      <c r="V17" s="4">
        <f t="shared" si="9"/>
        <v>0.5843550995990171</v>
      </c>
      <c r="W17" s="15"/>
      <c r="X17" s="2">
        <v>98</v>
      </c>
      <c r="Y17" s="2">
        <v>387</v>
      </c>
      <c r="Z17" s="2">
        <v>94</v>
      </c>
      <c r="AA17" s="2">
        <v>55</v>
      </c>
      <c r="AB17" s="2">
        <v>8.1</v>
      </c>
      <c r="AC17" s="2">
        <v>834268</v>
      </c>
      <c r="AD17" s="11"/>
      <c r="AE17" s="2">
        <v>1</v>
      </c>
      <c r="AF17" s="2">
        <v>1</v>
      </c>
      <c r="AG17" s="11"/>
      <c r="AH17" s="2" t="s">
        <v>79</v>
      </c>
      <c r="AI17" s="24" t="str">
        <f t="shared" si="4"/>
        <v>Inside Out</v>
      </c>
      <c r="AJ17" s="23" t="str">
        <f t="shared" si="10"/>
        <v>Monsters University</v>
      </c>
      <c r="AK17" s="23" t="str">
        <f t="shared" si="5"/>
        <v>US + Canada + rest of world = worldwide</v>
      </c>
    </row>
    <row r="18" spans="1:37" x14ac:dyDescent="0.3">
      <c r="A18" s="2" t="s">
        <v>17</v>
      </c>
      <c r="B18" s="10">
        <v>42333</v>
      </c>
      <c r="C18" s="78" t="str">
        <f t="shared" si="0"/>
        <v>Wed</v>
      </c>
      <c r="D18" s="79"/>
      <c r="E18" s="68" t="str">
        <f t="shared" si="6"/>
        <v>Nov</v>
      </c>
      <c r="F18" s="68"/>
      <c r="G18" s="87">
        <f t="shared" si="7"/>
        <v>159</v>
      </c>
      <c r="H18" s="88"/>
      <c r="I18" s="2">
        <v>93</v>
      </c>
      <c r="J18" s="74" t="s">
        <v>46</v>
      </c>
      <c r="K18" s="75"/>
      <c r="L18" s="11"/>
      <c r="M18" s="5">
        <v>175000000</v>
      </c>
      <c r="N18" s="5">
        <v>123087120</v>
      </c>
      <c r="O18" s="5">
        <v>209120551</v>
      </c>
      <c r="P18" s="5">
        <v>332207671</v>
      </c>
      <c r="Q18" s="11"/>
      <c r="R18" s="5">
        <f t="shared" si="8"/>
        <v>157207671</v>
      </c>
      <c r="S18" s="3">
        <f t="shared" si="1"/>
        <v>0.52677892558356965</v>
      </c>
      <c r="T18" s="3">
        <f t="shared" si="2"/>
        <v>1.8983295485714287</v>
      </c>
      <c r="U18" s="4">
        <f t="shared" si="3"/>
        <v>0.3705125761530052</v>
      </c>
      <c r="V18" s="4">
        <f t="shared" si="9"/>
        <v>0.62948742384699474</v>
      </c>
      <c r="W18" s="15"/>
      <c r="X18" s="2">
        <v>75</v>
      </c>
      <c r="Y18" s="2">
        <v>220</v>
      </c>
      <c r="Z18" s="2">
        <v>66</v>
      </c>
      <c r="AA18" s="2">
        <v>37</v>
      </c>
      <c r="AB18" s="2">
        <v>6.7</v>
      </c>
      <c r="AC18" s="2">
        <v>130324</v>
      </c>
      <c r="AD18" s="11"/>
      <c r="AE18" s="2">
        <v>0</v>
      </c>
      <c r="AF18" s="2">
        <v>0</v>
      </c>
      <c r="AG18" s="11"/>
      <c r="AH18" s="2" t="s">
        <v>80</v>
      </c>
      <c r="AI18" s="24" t="str">
        <f t="shared" si="4"/>
        <v>The Good Dinosaur</v>
      </c>
      <c r="AJ18" s="23" t="str">
        <f t="shared" si="10"/>
        <v>Inside Out</v>
      </c>
      <c r="AK18" s="23" t="str">
        <f t="shared" si="5"/>
        <v>US + Canada + rest of world = worldwide</v>
      </c>
    </row>
    <row r="19" spans="1:37" x14ac:dyDescent="0.3">
      <c r="A19" s="2" t="s">
        <v>18</v>
      </c>
      <c r="B19" s="10">
        <v>42538</v>
      </c>
      <c r="C19" s="78" t="str">
        <f t="shared" si="0"/>
        <v>Fri</v>
      </c>
      <c r="D19" s="79"/>
      <c r="E19" s="68" t="str">
        <f t="shared" si="6"/>
        <v>Jun</v>
      </c>
      <c r="F19" s="68"/>
      <c r="G19" s="87">
        <f t="shared" si="7"/>
        <v>205</v>
      </c>
      <c r="H19" s="88"/>
      <c r="I19" s="2">
        <v>97</v>
      </c>
      <c r="J19" s="74" t="s">
        <v>46</v>
      </c>
      <c r="K19" s="75"/>
      <c r="L19" s="11"/>
      <c r="M19" s="5">
        <v>200000000</v>
      </c>
      <c r="N19" s="5">
        <v>486295561</v>
      </c>
      <c r="O19" s="5">
        <v>542275328</v>
      </c>
      <c r="P19" s="5">
        <v>1028570889</v>
      </c>
      <c r="Q19" s="11"/>
      <c r="R19" s="5">
        <f t="shared" si="8"/>
        <v>828570889</v>
      </c>
      <c r="S19" s="3">
        <f t="shared" si="1"/>
        <v>0.19444454644681278</v>
      </c>
      <c r="T19" s="3">
        <f t="shared" si="2"/>
        <v>5.1428544450000002</v>
      </c>
      <c r="U19" s="4">
        <f t="shared" si="3"/>
        <v>0.47278759898871686</v>
      </c>
      <c r="V19" s="4">
        <f t="shared" si="9"/>
        <v>0.52721240101128319</v>
      </c>
      <c r="W19" s="15"/>
      <c r="X19" s="2">
        <v>94</v>
      </c>
      <c r="Y19" s="2">
        <v>339</v>
      </c>
      <c r="Z19" s="2">
        <v>77</v>
      </c>
      <c r="AA19" s="2">
        <v>48</v>
      </c>
      <c r="AB19" s="2">
        <v>7.2</v>
      </c>
      <c r="AC19" s="2">
        <v>311793</v>
      </c>
      <c r="AD19" s="11"/>
      <c r="AE19" s="2">
        <v>0</v>
      </c>
      <c r="AF19" s="2">
        <v>0</v>
      </c>
      <c r="AG19" s="11"/>
      <c r="AH19" s="2" t="s">
        <v>81</v>
      </c>
      <c r="AI19" s="24" t="str">
        <f t="shared" si="4"/>
        <v>Finding Dory</v>
      </c>
      <c r="AJ19" s="23" t="str">
        <f t="shared" si="10"/>
        <v>The Good Dinosaur</v>
      </c>
      <c r="AK19" s="23" t="str">
        <f t="shared" si="5"/>
        <v>US + Canada + rest of world = worldwide</v>
      </c>
    </row>
    <row r="20" spans="1:37" x14ac:dyDescent="0.3">
      <c r="A20" s="2" t="s">
        <v>19</v>
      </c>
      <c r="B20" s="10">
        <v>42902</v>
      </c>
      <c r="C20" s="78" t="str">
        <f t="shared" si="0"/>
        <v>Fri</v>
      </c>
      <c r="D20" s="79"/>
      <c r="E20" s="68" t="str">
        <f t="shared" si="6"/>
        <v>Jun</v>
      </c>
      <c r="F20" s="68"/>
      <c r="G20" s="87">
        <f t="shared" si="7"/>
        <v>364</v>
      </c>
      <c r="H20" s="88"/>
      <c r="I20" s="2">
        <v>102</v>
      </c>
      <c r="J20" s="74" t="s">
        <v>45</v>
      </c>
      <c r="K20" s="75"/>
      <c r="L20" s="11"/>
      <c r="M20" s="5">
        <v>175000000</v>
      </c>
      <c r="N20" s="5">
        <v>152901115</v>
      </c>
      <c r="O20" s="5">
        <v>231029541</v>
      </c>
      <c r="P20" s="5">
        <v>383930656</v>
      </c>
      <c r="Q20" s="11"/>
      <c r="R20" s="5">
        <f t="shared" si="8"/>
        <v>208930656</v>
      </c>
      <c r="S20" s="3">
        <f t="shared" si="1"/>
        <v>0.45581147862284799</v>
      </c>
      <c r="T20" s="3">
        <f t="shared" si="2"/>
        <v>2.1938894628571428</v>
      </c>
      <c r="U20" s="4">
        <f t="shared" si="3"/>
        <v>0.39825190463561211</v>
      </c>
      <c r="V20" s="4">
        <f t="shared" si="9"/>
        <v>0.60174809536438789</v>
      </c>
      <c r="W20" s="15"/>
      <c r="X20" s="2">
        <v>69</v>
      </c>
      <c r="Y20" s="2">
        <v>234</v>
      </c>
      <c r="Z20" s="2">
        <v>59</v>
      </c>
      <c r="AA20" s="2">
        <v>41</v>
      </c>
      <c r="AB20" s="2">
        <v>6.7</v>
      </c>
      <c r="AC20" s="2">
        <v>128849</v>
      </c>
      <c r="AD20" s="11"/>
      <c r="AE20" s="2">
        <v>0</v>
      </c>
      <c r="AF20" s="2">
        <v>0</v>
      </c>
      <c r="AG20" s="11"/>
      <c r="AH20" s="2" t="s">
        <v>82</v>
      </c>
      <c r="AI20" s="24" t="str">
        <f t="shared" si="4"/>
        <v>Cars 3</v>
      </c>
      <c r="AJ20" s="23" t="str">
        <f t="shared" si="10"/>
        <v>Finding Dory</v>
      </c>
      <c r="AK20" s="23" t="str">
        <f t="shared" si="5"/>
        <v>US + Canada + rest of world = worldwide</v>
      </c>
    </row>
    <row r="21" spans="1:37" x14ac:dyDescent="0.3">
      <c r="A21" s="2" t="s">
        <v>20</v>
      </c>
      <c r="B21" s="10">
        <v>43061</v>
      </c>
      <c r="C21" s="78" t="str">
        <f t="shared" si="0"/>
        <v>Wed</v>
      </c>
      <c r="D21" s="79"/>
      <c r="E21" s="68" t="str">
        <f t="shared" si="6"/>
        <v>Nov</v>
      </c>
      <c r="F21" s="68"/>
      <c r="G21" s="87">
        <f t="shared" si="7"/>
        <v>159</v>
      </c>
      <c r="H21" s="88"/>
      <c r="I21" s="2">
        <v>105</v>
      </c>
      <c r="J21" s="74" t="s">
        <v>46</v>
      </c>
      <c r="K21" s="75"/>
      <c r="L21" s="11"/>
      <c r="M21" s="5">
        <v>175000000</v>
      </c>
      <c r="N21" s="5">
        <v>210460015</v>
      </c>
      <c r="O21" s="5">
        <v>604181157</v>
      </c>
      <c r="P21" s="5">
        <v>814641172</v>
      </c>
      <c r="Q21" s="11"/>
      <c r="R21" s="5">
        <f t="shared" si="8"/>
        <v>639641172</v>
      </c>
      <c r="S21" s="3">
        <f t="shared" si="1"/>
        <v>0.21481850661974644</v>
      </c>
      <c r="T21" s="3">
        <f t="shared" si="2"/>
        <v>4.655092411428571</v>
      </c>
      <c r="U21" s="4">
        <f t="shared" si="3"/>
        <v>0.25834689214553963</v>
      </c>
      <c r="V21" s="4">
        <f t="shared" si="9"/>
        <v>0.74165310785446037</v>
      </c>
      <c r="W21" s="15"/>
      <c r="X21" s="2">
        <v>97</v>
      </c>
      <c r="Y21" s="2">
        <v>357</v>
      </c>
      <c r="Z21" s="2">
        <v>81</v>
      </c>
      <c r="AA21" s="2">
        <v>48</v>
      </c>
      <c r="AB21" s="2">
        <v>8.4</v>
      </c>
      <c r="AC21" s="2">
        <v>618005</v>
      </c>
      <c r="AD21" s="11"/>
      <c r="AE21" s="2">
        <v>2</v>
      </c>
      <c r="AF21" s="2">
        <v>0</v>
      </c>
      <c r="AG21" s="11"/>
      <c r="AH21" s="2" t="s">
        <v>83</v>
      </c>
      <c r="AI21" s="24" t="str">
        <f t="shared" si="4"/>
        <v>Coco</v>
      </c>
      <c r="AJ21" s="23" t="str">
        <f t="shared" si="10"/>
        <v>Cars 3</v>
      </c>
      <c r="AK21" s="23" t="str">
        <f t="shared" si="5"/>
        <v>US + Canada + rest of world = worldwide</v>
      </c>
    </row>
    <row r="22" spans="1:37" x14ac:dyDescent="0.3">
      <c r="A22" s="2" t="s">
        <v>21</v>
      </c>
      <c r="B22" s="10">
        <v>43266</v>
      </c>
      <c r="C22" s="78" t="str">
        <f t="shared" si="0"/>
        <v>Fri</v>
      </c>
      <c r="D22" s="79"/>
      <c r="E22" s="68" t="str">
        <f t="shared" si="6"/>
        <v>Jun</v>
      </c>
      <c r="F22" s="68"/>
      <c r="G22" s="87">
        <f t="shared" si="7"/>
        <v>205</v>
      </c>
      <c r="H22" s="88"/>
      <c r="I22" s="2">
        <v>118</v>
      </c>
      <c r="J22" s="74" t="s">
        <v>46</v>
      </c>
      <c r="K22" s="75"/>
      <c r="L22" s="11"/>
      <c r="M22" s="5">
        <v>200000000</v>
      </c>
      <c r="N22" s="5">
        <v>608581744</v>
      </c>
      <c r="O22" s="5">
        <v>634223615</v>
      </c>
      <c r="P22" s="5">
        <v>1242805359</v>
      </c>
      <c r="Q22" s="11"/>
      <c r="R22" s="5">
        <f t="shared" si="8"/>
        <v>1042805359</v>
      </c>
      <c r="S22" s="3">
        <f t="shared" si="1"/>
        <v>0.16092624524963928</v>
      </c>
      <c r="T22" s="3">
        <f t="shared" si="2"/>
        <v>6.2140267949999997</v>
      </c>
      <c r="U22" s="4">
        <f t="shared" si="3"/>
        <v>0.48968387494698595</v>
      </c>
      <c r="V22" s="4">
        <f t="shared" si="9"/>
        <v>0.51031612505301405</v>
      </c>
      <c r="W22" s="15"/>
      <c r="X22" s="2">
        <v>93</v>
      </c>
      <c r="Y22" s="2">
        <v>390</v>
      </c>
      <c r="Z22" s="2">
        <v>80</v>
      </c>
      <c r="AA22" s="2">
        <v>51</v>
      </c>
      <c r="AB22" s="2">
        <v>7.5</v>
      </c>
      <c r="AC22" s="2">
        <v>341353</v>
      </c>
      <c r="AD22" s="11"/>
      <c r="AE22" s="2">
        <v>0</v>
      </c>
      <c r="AF22" s="2">
        <v>1</v>
      </c>
      <c r="AG22" s="11"/>
      <c r="AH22" s="2" t="s">
        <v>71</v>
      </c>
      <c r="AI22" s="24" t="str">
        <f t="shared" si="4"/>
        <v>Incredibles 2</v>
      </c>
      <c r="AJ22" s="23" t="str">
        <f t="shared" si="10"/>
        <v>Coco</v>
      </c>
      <c r="AK22" s="23" t="str">
        <f t="shared" si="5"/>
        <v>US + Canada + rest of world = worldwide</v>
      </c>
    </row>
    <row r="23" spans="1:37" x14ac:dyDescent="0.3">
      <c r="A23" s="2" t="s">
        <v>22</v>
      </c>
      <c r="B23" s="10">
        <v>43637</v>
      </c>
      <c r="C23" s="78" t="str">
        <f t="shared" si="0"/>
        <v>Fri</v>
      </c>
      <c r="D23" s="79"/>
      <c r="E23" s="68" t="str">
        <f t="shared" si="6"/>
        <v>Jun</v>
      </c>
      <c r="F23" s="68"/>
      <c r="G23" s="87">
        <f t="shared" si="7"/>
        <v>371</v>
      </c>
      <c r="H23" s="88"/>
      <c r="I23" s="2">
        <v>100</v>
      </c>
      <c r="J23" s="74" t="s">
        <v>45</v>
      </c>
      <c r="K23" s="75"/>
      <c r="L23" s="11"/>
      <c r="M23" s="5">
        <v>200000000</v>
      </c>
      <c r="N23" s="5">
        <v>434038008</v>
      </c>
      <c r="O23" s="5">
        <v>639356585</v>
      </c>
      <c r="P23" s="5">
        <v>1073394593</v>
      </c>
      <c r="Q23" s="11"/>
      <c r="R23" s="5">
        <f t="shared" si="8"/>
        <v>873394593</v>
      </c>
      <c r="S23" s="3">
        <f t="shared" si="1"/>
        <v>0.18632476938515752</v>
      </c>
      <c r="T23" s="3">
        <f t="shared" si="2"/>
        <v>5.3669729650000004</v>
      </c>
      <c r="U23" s="4">
        <f t="shared" si="3"/>
        <v>0.40436015872496572</v>
      </c>
      <c r="V23" s="4">
        <f t="shared" si="9"/>
        <v>0.59563984127503422</v>
      </c>
      <c r="W23" s="15"/>
      <c r="X23" s="2">
        <v>97</v>
      </c>
      <c r="Y23" s="2">
        <v>459</v>
      </c>
      <c r="Z23" s="2">
        <v>84</v>
      </c>
      <c r="AA23" s="2">
        <v>57</v>
      </c>
      <c r="AB23" s="2">
        <v>7.6</v>
      </c>
      <c r="AC23" s="2">
        <v>288783</v>
      </c>
      <c r="AD23" s="11"/>
      <c r="AE23" s="2">
        <v>1</v>
      </c>
      <c r="AF23" s="2">
        <v>1</v>
      </c>
      <c r="AG23" s="11"/>
      <c r="AH23" s="2" t="s">
        <v>84</v>
      </c>
      <c r="AI23" s="24" t="str">
        <f t="shared" si="4"/>
        <v>Toy Story 4</v>
      </c>
      <c r="AJ23" s="23" t="str">
        <f t="shared" si="10"/>
        <v>Incredibles 2</v>
      </c>
      <c r="AK23" s="23" t="str">
        <f t="shared" si="5"/>
        <v>US + Canada + rest of world = worldwide</v>
      </c>
    </row>
    <row r="24" spans="1:37" x14ac:dyDescent="0.3">
      <c r="A24" s="2" t="s">
        <v>23</v>
      </c>
      <c r="B24" s="10">
        <v>43896</v>
      </c>
      <c r="C24" s="78" t="str">
        <f t="shared" si="0"/>
        <v>Fri</v>
      </c>
      <c r="D24" s="79"/>
      <c r="E24" s="68" t="str">
        <f t="shared" si="6"/>
        <v>Mar</v>
      </c>
      <c r="F24" s="68"/>
      <c r="G24" s="87">
        <f t="shared" si="7"/>
        <v>259</v>
      </c>
      <c r="H24" s="88"/>
      <c r="I24" s="2">
        <v>102</v>
      </c>
      <c r="J24" s="74" t="s">
        <v>46</v>
      </c>
      <c r="K24" s="75"/>
      <c r="L24" s="11"/>
      <c r="M24" s="5">
        <v>175000000</v>
      </c>
      <c r="N24" s="5">
        <v>61555145</v>
      </c>
      <c r="O24" s="5">
        <v>80384897</v>
      </c>
      <c r="P24" s="5">
        <v>141940042</v>
      </c>
      <c r="Q24" s="11"/>
      <c r="R24" s="5">
        <f t="shared" si="8"/>
        <v>-33059958</v>
      </c>
      <c r="S24" s="3">
        <f t="shared" si="1"/>
        <v>1.2329149515117095</v>
      </c>
      <c r="T24" s="3">
        <f>P24/M24</f>
        <v>0.81108595428571428</v>
      </c>
      <c r="U24" s="4">
        <f t="shared" si="3"/>
        <v>0.43367004921697855</v>
      </c>
      <c r="V24" s="4">
        <f t="shared" si="9"/>
        <v>0.56632995078302151</v>
      </c>
      <c r="W24" s="15"/>
      <c r="X24" s="2">
        <v>88</v>
      </c>
      <c r="Y24" s="2">
        <v>350</v>
      </c>
      <c r="Z24" s="2">
        <v>64</v>
      </c>
      <c r="AA24" s="2">
        <v>56</v>
      </c>
      <c r="AB24" s="2">
        <v>7.4</v>
      </c>
      <c r="AC24" s="2">
        <v>174917</v>
      </c>
      <c r="AD24" s="11"/>
      <c r="AE24" s="2">
        <v>0</v>
      </c>
      <c r="AF24" s="2">
        <v>1</v>
      </c>
      <c r="AG24" s="11"/>
      <c r="AH24" s="2" t="s">
        <v>78</v>
      </c>
      <c r="AI24" s="24" t="str">
        <f t="shared" si="4"/>
        <v>Onward</v>
      </c>
      <c r="AJ24" s="23" t="str">
        <f t="shared" si="10"/>
        <v>Toy Story 4</v>
      </c>
      <c r="AK24" s="23" t="str">
        <f t="shared" si="5"/>
        <v>US + Canada + rest of world = worldwide</v>
      </c>
    </row>
    <row r="25" spans="1:37" x14ac:dyDescent="0.3">
      <c r="A25" s="2" t="s">
        <v>24</v>
      </c>
      <c r="B25" s="10">
        <v>44190</v>
      </c>
      <c r="C25" s="78" t="str">
        <f t="shared" si="0"/>
        <v>Fri</v>
      </c>
      <c r="D25" s="79"/>
      <c r="E25" s="68" t="str">
        <f t="shared" si="6"/>
        <v>Dec</v>
      </c>
      <c r="F25" s="68"/>
      <c r="G25" s="87">
        <f t="shared" si="7"/>
        <v>294</v>
      </c>
      <c r="H25" s="88"/>
      <c r="I25" s="2">
        <v>100</v>
      </c>
      <c r="J25" s="74" t="s">
        <v>46</v>
      </c>
      <c r="K25" s="75"/>
      <c r="L25" s="11"/>
      <c r="M25" s="5">
        <v>150000000</v>
      </c>
      <c r="N25" s="5">
        <v>946154</v>
      </c>
      <c r="O25" s="5">
        <v>120957731</v>
      </c>
      <c r="P25" s="5">
        <v>121903885</v>
      </c>
      <c r="Q25" s="11"/>
      <c r="R25" s="5">
        <f t="shared" si="8"/>
        <v>-28096115</v>
      </c>
      <c r="S25" s="3">
        <f t="shared" si="1"/>
        <v>1.2304776012675889</v>
      </c>
      <c r="T25" s="3">
        <f t="shared" si="2"/>
        <v>0.81269256666666667</v>
      </c>
      <c r="U25" s="4">
        <f>N25/P25</f>
        <v>7.7614753623315618E-3</v>
      </c>
      <c r="V25" s="4">
        <f t="shared" si="9"/>
        <v>0.99223852463766848</v>
      </c>
      <c r="W25" s="15"/>
      <c r="X25" s="2">
        <v>95</v>
      </c>
      <c r="Y25" s="2">
        <v>360</v>
      </c>
      <c r="Z25" s="2">
        <v>83</v>
      </c>
      <c r="AA25" s="2">
        <v>55</v>
      </c>
      <c r="AB25" s="2">
        <v>8</v>
      </c>
      <c r="AC25" s="2">
        <v>392783</v>
      </c>
      <c r="AD25" s="11"/>
      <c r="AE25" s="2">
        <v>2</v>
      </c>
      <c r="AF25" s="2">
        <v>2</v>
      </c>
      <c r="AG25" s="11"/>
      <c r="AH25" s="2" t="s">
        <v>85</v>
      </c>
      <c r="AI25" s="24" t="str">
        <f t="shared" si="4"/>
        <v>Soul</v>
      </c>
      <c r="AJ25" s="23" t="str">
        <f t="shared" si="10"/>
        <v>Onward</v>
      </c>
      <c r="AK25" s="23" t="str">
        <f t="shared" si="5"/>
        <v>US + Canada + rest of world = worldwide</v>
      </c>
    </row>
    <row r="26" spans="1:37" x14ac:dyDescent="0.3">
      <c r="A26" s="2" t="s">
        <v>25</v>
      </c>
      <c r="B26" s="10">
        <v>44365</v>
      </c>
      <c r="C26" s="78" t="str">
        <f t="shared" si="0"/>
        <v>Fri</v>
      </c>
      <c r="D26" s="79"/>
      <c r="E26" s="68" t="str">
        <f t="shared" si="6"/>
        <v>Jun</v>
      </c>
      <c r="F26" s="68"/>
      <c r="G26" s="87">
        <f t="shared" si="7"/>
        <v>175</v>
      </c>
      <c r="H26" s="88"/>
      <c r="I26" s="2">
        <v>95</v>
      </c>
      <c r="J26" s="74" t="s">
        <v>46</v>
      </c>
      <c r="K26" s="75"/>
      <c r="L26" s="11"/>
      <c r="M26" s="5">
        <v>175000000</v>
      </c>
      <c r="N26" s="5">
        <v>1324302</v>
      </c>
      <c r="O26" s="5">
        <v>49788012</v>
      </c>
      <c r="P26" s="5">
        <v>51112314</v>
      </c>
      <c r="Q26" s="11"/>
      <c r="R26" s="5">
        <f t="shared" si="8"/>
        <v>-123887686</v>
      </c>
      <c r="S26" s="3">
        <f t="shared" si="1"/>
        <v>3.4238324643255242</v>
      </c>
      <c r="T26" s="3">
        <f t="shared" si="2"/>
        <v>0.29207036571428574</v>
      </c>
      <c r="U26" s="4">
        <f t="shared" si="3"/>
        <v>2.5909646743835547E-2</v>
      </c>
      <c r="V26" s="4">
        <f t="shared" si="9"/>
        <v>0.97409035325616444</v>
      </c>
      <c r="W26" s="15"/>
      <c r="X26" s="2">
        <v>91</v>
      </c>
      <c r="Y26" s="2">
        <v>303</v>
      </c>
      <c r="Z26" s="2">
        <v>71</v>
      </c>
      <c r="AA26" s="2">
        <v>52</v>
      </c>
      <c r="AB26" s="2">
        <v>7.4</v>
      </c>
      <c r="AC26" s="2">
        <v>202404</v>
      </c>
      <c r="AD26" s="11"/>
      <c r="AE26" s="2">
        <v>0</v>
      </c>
      <c r="AF26" s="2">
        <v>0</v>
      </c>
      <c r="AG26" s="11"/>
      <c r="AH26" s="2" t="s">
        <v>86</v>
      </c>
      <c r="AI26" s="24" t="str">
        <f t="shared" si="4"/>
        <v>Luca</v>
      </c>
      <c r="AJ26" s="23" t="str">
        <f t="shared" si="10"/>
        <v>Soul</v>
      </c>
      <c r="AK26" s="23" t="str">
        <f t="shared" si="5"/>
        <v>US + Canada + rest of world = worldwide</v>
      </c>
    </row>
    <row r="27" spans="1:37" x14ac:dyDescent="0.3">
      <c r="A27" s="2" t="s">
        <v>26</v>
      </c>
      <c r="B27" s="10">
        <v>44631</v>
      </c>
      <c r="C27" s="78" t="str">
        <f t="shared" si="0"/>
        <v>Fri</v>
      </c>
      <c r="D27" s="79"/>
      <c r="E27" s="68" t="str">
        <f t="shared" si="6"/>
        <v>Mar</v>
      </c>
      <c r="F27" s="68"/>
      <c r="G27" s="87">
        <f t="shared" si="7"/>
        <v>266</v>
      </c>
      <c r="H27" s="88"/>
      <c r="I27" s="2">
        <v>100</v>
      </c>
      <c r="J27" s="74" t="s">
        <v>46</v>
      </c>
      <c r="K27" s="75"/>
      <c r="L27" s="11"/>
      <c r="M27" s="5">
        <v>175000000</v>
      </c>
      <c r="N27" s="5">
        <v>1399001</v>
      </c>
      <c r="O27" s="5">
        <v>20414357</v>
      </c>
      <c r="P27" s="5">
        <v>21813358</v>
      </c>
      <c r="Q27" s="11"/>
      <c r="R27" s="5">
        <f t="shared" si="8"/>
        <v>-153186642</v>
      </c>
      <c r="S27" s="3">
        <f>M27/P27</f>
        <v>8.022607064900324</v>
      </c>
      <c r="T27" s="3">
        <f t="shared" si="2"/>
        <v>0.12464776</v>
      </c>
      <c r="U27" s="4">
        <f t="shared" si="3"/>
        <v>6.4135058893729252E-2</v>
      </c>
      <c r="V27" s="4">
        <f t="shared" si="9"/>
        <v>0.93586494110627072</v>
      </c>
      <c r="W27" s="15"/>
      <c r="X27" s="2">
        <v>95</v>
      </c>
      <c r="Y27" s="2">
        <v>289</v>
      </c>
      <c r="Z27" s="2">
        <v>83</v>
      </c>
      <c r="AA27" s="2">
        <v>52</v>
      </c>
      <c r="AB27" s="2">
        <v>7</v>
      </c>
      <c r="AC27" s="2">
        <v>158649</v>
      </c>
      <c r="AD27" s="11"/>
      <c r="AE27" s="2">
        <v>0</v>
      </c>
      <c r="AF27" s="2">
        <v>1</v>
      </c>
      <c r="AG27" s="11"/>
      <c r="AH27" s="2" t="s">
        <v>87</v>
      </c>
      <c r="AI27" s="24" t="str">
        <f t="shared" si="4"/>
        <v>Turning Red</v>
      </c>
      <c r="AJ27" s="23" t="str">
        <f t="shared" si="10"/>
        <v>Luca</v>
      </c>
      <c r="AK27" s="23" t="str">
        <f t="shared" si="5"/>
        <v>US + Canada + rest of world = worldwide</v>
      </c>
    </row>
    <row r="28" spans="1:37" x14ac:dyDescent="0.3">
      <c r="A28" s="2" t="s">
        <v>27</v>
      </c>
      <c r="B28" s="10">
        <v>44729</v>
      </c>
      <c r="C28" s="78" t="str">
        <f t="shared" si="0"/>
        <v>Fri</v>
      </c>
      <c r="D28" s="79"/>
      <c r="E28" s="68" t="str">
        <f t="shared" si="6"/>
        <v>Jun</v>
      </c>
      <c r="F28" s="68"/>
      <c r="G28" s="87">
        <f t="shared" si="7"/>
        <v>98</v>
      </c>
      <c r="H28" s="88"/>
      <c r="I28" s="2">
        <v>105</v>
      </c>
      <c r="J28" s="74" t="s">
        <v>46</v>
      </c>
      <c r="K28" s="75"/>
      <c r="L28" s="11"/>
      <c r="M28" s="5">
        <v>200000000</v>
      </c>
      <c r="N28" s="5">
        <v>118307188</v>
      </c>
      <c r="O28" s="5">
        <v>108118232</v>
      </c>
      <c r="P28" s="5">
        <v>226425420</v>
      </c>
      <c r="Q28" s="11"/>
      <c r="R28" s="5">
        <f t="shared" si="8"/>
        <v>26425420</v>
      </c>
      <c r="S28" s="3">
        <f t="shared" si="1"/>
        <v>0.88329305075375375</v>
      </c>
      <c r="T28" s="3">
        <f t="shared" si="2"/>
        <v>1.1321270999999999</v>
      </c>
      <c r="U28" s="4">
        <f t="shared" si="3"/>
        <v>0.52249958507308936</v>
      </c>
      <c r="V28" s="4">
        <f t="shared" si="9"/>
        <v>0.47750041492691059</v>
      </c>
      <c r="W28" s="15"/>
      <c r="X28" s="2">
        <v>74</v>
      </c>
      <c r="Y28" s="2">
        <v>319</v>
      </c>
      <c r="Z28" s="2">
        <v>60</v>
      </c>
      <c r="AA28" s="2">
        <v>57</v>
      </c>
      <c r="AB28" s="2">
        <v>6.1</v>
      </c>
      <c r="AC28" s="2">
        <v>127045</v>
      </c>
      <c r="AD28" s="11"/>
      <c r="AE28" s="2">
        <v>0</v>
      </c>
      <c r="AF28" s="2">
        <v>0</v>
      </c>
      <c r="AG28" s="11"/>
      <c r="AH28" s="2" t="s">
        <v>88</v>
      </c>
      <c r="AI28" s="24" t="str">
        <f t="shared" si="4"/>
        <v>Lightyear</v>
      </c>
      <c r="AJ28" s="23" t="str">
        <f t="shared" si="10"/>
        <v>Turning Red</v>
      </c>
      <c r="AK28" s="23" t="str">
        <f t="shared" si="5"/>
        <v>US + Canada + rest of world = worldwide</v>
      </c>
    </row>
    <row r="29" spans="1:37" x14ac:dyDescent="0.3">
      <c r="A29" s="2" t="s">
        <v>28</v>
      </c>
      <c r="B29" s="10">
        <v>45093</v>
      </c>
      <c r="C29" s="78" t="str">
        <f t="shared" si="0"/>
        <v>Fri</v>
      </c>
      <c r="D29" s="79"/>
      <c r="E29" s="68" t="str">
        <f t="shared" si="6"/>
        <v>Jun</v>
      </c>
      <c r="F29" s="68"/>
      <c r="G29" s="87">
        <f t="shared" si="7"/>
        <v>364</v>
      </c>
      <c r="H29" s="88"/>
      <c r="I29" s="2">
        <v>101</v>
      </c>
      <c r="J29" s="74" t="s">
        <v>46</v>
      </c>
      <c r="K29" s="75"/>
      <c r="L29" s="11"/>
      <c r="M29" s="5">
        <v>200000000</v>
      </c>
      <c r="N29" s="5">
        <v>154426697</v>
      </c>
      <c r="O29" s="5">
        <v>342017611</v>
      </c>
      <c r="P29" s="5">
        <v>496444308</v>
      </c>
      <c r="Q29" s="11"/>
      <c r="R29" s="5">
        <f t="shared" si="8"/>
        <v>296444308</v>
      </c>
      <c r="S29" s="3">
        <f t="shared" si="1"/>
        <v>0.402864927197433</v>
      </c>
      <c r="T29" s="3">
        <f t="shared" si="2"/>
        <v>2.4822215399999998</v>
      </c>
      <c r="U29" s="4">
        <f t="shared" si="3"/>
        <v>0.3110655002212252</v>
      </c>
      <c r="V29" s="4">
        <f t="shared" si="9"/>
        <v>0.68893449977877474</v>
      </c>
      <c r="W29" s="15"/>
      <c r="X29" s="2">
        <v>73</v>
      </c>
      <c r="Y29" s="2">
        <v>262</v>
      </c>
      <c r="Z29" s="2">
        <v>58</v>
      </c>
      <c r="AA29" s="2">
        <v>45</v>
      </c>
      <c r="AB29" s="2">
        <v>7</v>
      </c>
      <c r="AC29" s="2">
        <v>140174</v>
      </c>
      <c r="AD29" s="11"/>
      <c r="AE29" s="2">
        <v>0</v>
      </c>
      <c r="AF29" s="2">
        <v>1</v>
      </c>
      <c r="AG29" s="11"/>
      <c r="AH29" s="2" t="s">
        <v>80</v>
      </c>
      <c r="AI29" s="24" t="str">
        <f t="shared" si="4"/>
        <v>Elemental</v>
      </c>
      <c r="AJ29" s="23" t="str">
        <f t="shared" si="10"/>
        <v>Lightyear</v>
      </c>
      <c r="AK29" s="23" t="str">
        <f t="shared" si="5"/>
        <v>US + Canada + rest of world = worldwide</v>
      </c>
    </row>
    <row r="30" spans="1:37" x14ac:dyDescent="0.3">
      <c r="A30" s="2" t="s">
        <v>29</v>
      </c>
      <c r="B30" s="10">
        <v>45457</v>
      </c>
      <c r="C30" s="80" t="str">
        <f t="shared" si="0"/>
        <v>Fri</v>
      </c>
      <c r="D30" s="80"/>
      <c r="E30" s="68" t="str">
        <f t="shared" si="6"/>
        <v>Jun</v>
      </c>
      <c r="F30" s="68"/>
      <c r="G30" s="87">
        <f t="shared" si="7"/>
        <v>364</v>
      </c>
      <c r="H30" s="88"/>
      <c r="I30" s="2">
        <v>96</v>
      </c>
      <c r="J30" s="74" t="s">
        <v>46</v>
      </c>
      <c r="K30" s="75"/>
      <c r="L30" s="11"/>
      <c r="M30" s="5">
        <v>200000000</v>
      </c>
      <c r="N30" s="5">
        <v>652980194</v>
      </c>
      <c r="O30" s="5">
        <v>1045050771</v>
      </c>
      <c r="P30" s="5">
        <v>1698030965</v>
      </c>
      <c r="Q30" s="11"/>
      <c r="R30" s="5">
        <f t="shared" si="8"/>
        <v>1498030965</v>
      </c>
      <c r="S30" s="3">
        <f t="shared" si="1"/>
        <v>0.11778348223467174</v>
      </c>
      <c r="T30" s="3">
        <f t="shared" si="2"/>
        <v>8.4901548249999994</v>
      </c>
      <c r="U30" s="4">
        <f t="shared" si="3"/>
        <v>0.38455140539795751</v>
      </c>
      <c r="V30" s="4">
        <f t="shared" si="9"/>
        <v>0.61544859460204249</v>
      </c>
      <c r="W30" s="15"/>
      <c r="X30" s="2">
        <v>90</v>
      </c>
      <c r="Y30" s="2">
        <v>313</v>
      </c>
      <c r="Z30" s="2">
        <v>73</v>
      </c>
      <c r="AA30" s="2">
        <v>59</v>
      </c>
      <c r="AB30" s="2">
        <v>7.6</v>
      </c>
      <c r="AC30" s="2">
        <v>168090</v>
      </c>
      <c r="AD30" s="11"/>
      <c r="AE30" s="2">
        <v>0</v>
      </c>
      <c r="AF30" s="2">
        <v>1</v>
      </c>
      <c r="AG30" s="11"/>
      <c r="AH30" s="2" t="s">
        <v>89</v>
      </c>
      <c r="AI30" s="24" t="str">
        <f t="shared" si="4"/>
        <v>Inside Out 2</v>
      </c>
      <c r="AJ30" s="23" t="str">
        <f t="shared" si="10"/>
        <v>Elemental</v>
      </c>
      <c r="AK30" s="23" t="str">
        <f t="shared" si="5"/>
        <v>US + Canada + rest of world = worldwide</v>
      </c>
    </row>
    <row r="31" spans="1:37" x14ac:dyDescent="0.3">
      <c r="G31" s="22"/>
      <c r="H31" s="22"/>
      <c r="M31" s="6"/>
      <c r="N31" s="6"/>
      <c r="O31" s="6"/>
      <c r="P31" s="6"/>
      <c r="R31" s="6"/>
      <c r="S31" s="9"/>
      <c r="T31" s="9"/>
      <c r="U31" s="8"/>
      <c r="V31" s="8"/>
      <c r="W31" s="8"/>
      <c r="AJ31" s="28"/>
    </row>
    <row r="32" spans="1:37" ht="15" thickBot="1" x14ac:dyDescent="0.35">
      <c r="A32" s="31" t="s">
        <v>53</v>
      </c>
      <c r="G32" s="22"/>
      <c r="H32" s="22"/>
    </row>
    <row r="33" spans="1:34" x14ac:dyDescent="0.3">
      <c r="A33" s="14" t="s">
        <v>39</v>
      </c>
      <c r="B33" s="49"/>
      <c r="C33" s="51" t="s">
        <v>207</v>
      </c>
      <c r="D33" s="59">
        <f>COUNTIF(C3:D30, "Wed")</f>
        <v>5</v>
      </c>
      <c r="E33" s="64" t="s">
        <v>202</v>
      </c>
      <c r="F33" s="43">
        <v>2</v>
      </c>
      <c r="G33" s="93">
        <f>SUM(G4:G30)</f>
        <v>10432</v>
      </c>
      <c r="H33" s="82"/>
      <c r="I33" s="25">
        <f>SUM(I3:I30)</f>
        <v>2811</v>
      </c>
      <c r="J33" s="42" t="s">
        <v>61</v>
      </c>
      <c r="K33" s="43">
        <f>COUNTIF(J3:J30,"G")</f>
        <v>13</v>
      </c>
      <c r="L33" s="39"/>
      <c r="M33" s="5">
        <f>SUM(M3:M30)</f>
        <v>4526000000</v>
      </c>
      <c r="N33" s="5">
        <f t="shared" ref="N33:P33" si="11">SUM(N3:N30)</f>
        <v>6931243909</v>
      </c>
      <c r="O33" s="5">
        <f t="shared" si="11"/>
        <v>10111357027</v>
      </c>
      <c r="P33" s="5">
        <f t="shared" si="11"/>
        <v>17042600936</v>
      </c>
      <c r="Q33" s="11"/>
      <c r="R33" s="5">
        <f t="shared" ref="R33" si="12">SUM(R3:R30)</f>
        <v>12516600936</v>
      </c>
      <c r="S33" s="13"/>
      <c r="T33" s="13"/>
      <c r="U33" s="11"/>
      <c r="V33" s="11"/>
      <c r="W33" s="11"/>
      <c r="X33" s="11"/>
      <c r="Y33" s="2">
        <f>SUM(Y3:Y30)</f>
        <v>7667</v>
      </c>
      <c r="Z33" s="11"/>
      <c r="AA33" s="2">
        <f>SUM(AA3:AA30)</f>
        <v>1217</v>
      </c>
      <c r="AB33" s="11"/>
      <c r="AC33" s="2">
        <f>SUM(AC3:AC30)</f>
        <v>14717015</v>
      </c>
      <c r="AD33" s="11"/>
      <c r="AE33" s="2">
        <f t="shared" ref="AE33:AF33" si="13">SUM(AE3:AE30)</f>
        <v>18</v>
      </c>
      <c r="AF33" s="2">
        <f t="shared" si="13"/>
        <v>39</v>
      </c>
      <c r="AG33" s="11"/>
      <c r="AH33" s="11"/>
    </row>
    <row r="34" spans="1:34" ht="15" thickBot="1" x14ac:dyDescent="0.35">
      <c r="A34" s="14" t="s">
        <v>209</v>
      </c>
      <c r="B34" s="50">
        <f>AVERAGE(B3:B30)</f>
        <v>41231.892857142855</v>
      </c>
      <c r="C34" s="52" t="s">
        <v>208</v>
      </c>
      <c r="D34" s="60">
        <f>COUNTIF(C3:D30,"Fri")</f>
        <v>23</v>
      </c>
      <c r="E34" s="65" t="s">
        <v>203</v>
      </c>
      <c r="F34" s="66">
        <v>2</v>
      </c>
      <c r="G34" s="93">
        <f>AVERAGE(G4:G30)</f>
        <v>386.37037037037038</v>
      </c>
      <c r="H34" s="82"/>
      <c r="I34" s="38">
        <f>AVERAGE(I3:I30)</f>
        <v>100.39285714285714</v>
      </c>
      <c r="J34" s="44" t="s">
        <v>62</v>
      </c>
      <c r="K34" s="45">
        <f>COUNTIF(J3:J30,"PG")</f>
        <v>15</v>
      </c>
      <c r="L34" s="39"/>
      <c r="M34" s="5">
        <f>AVERAGE(M3:M30)</f>
        <v>161642857.14285713</v>
      </c>
      <c r="N34" s="5">
        <f t="shared" ref="N34:P34" si="14">AVERAGE(N3:N30)</f>
        <v>247544425.32142857</v>
      </c>
      <c r="O34" s="5">
        <f t="shared" si="14"/>
        <v>361119893.8214286</v>
      </c>
      <c r="P34" s="5">
        <f t="shared" si="14"/>
        <v>608664319.14285719</v>
      </c>
      <c r="Q34" s="11"/>
      <c r="R34" s="5">
        <f>AVERAGE(R3:R30)</f>
        <v>447021462</v>
      </c>
      <c r="S34" s="3">
        <f>AVERAGE(S3:S30)</f>
        <v>0.73396155612752589</v>
      </c>
      <c r="T34" s="3">
        <f>AVERAGE(T3:T30)</f>
        <v>4.1775484634493099</v>
      </c>
      <c r="U34" s="4">
        <f>AVERAGE(U3:U30)</f>
        <v>0.37719689512709415</v>
      </c>
      <c r="V34" s="4">
        <f>AVERAGE(V3:V30)</f>
        <v>0.6228031048729058</v>
      </c>
      <c r="W34" s="15"/>
      <c r="X34" s="3">
        <f t="shared" ref="X34:AF34" si="15">AVERAGE(X3:X30)</f>
        <v>88.357142857142861</v>
      </c>
      <c r="Y34" s="3">
        <f t="shared" si="15"/>
        <v>273.82142857142856</v>
      </c>
      <c r="Z34" s="3">
        <f t="shared" si="15"/>
        <v>78.142857142857139</v>
      </c>
      <c r="AA34" s="3">
        <f t="shared" si="15"/>
        <v>43.464285714285715</v>
      </c>
      <c r="AB34" s="3">
        <f t="shared" si="15"/>
        <v>7.5428571428571427</v>
      </c>
      <c r="AC34" s="19">
        <f t="shared" si="15"/>
        <v>525607.67857142852</v>
      </c>
      <c r="AD34" s="30"/>
      <c r="AE34" s="3">
        <f>AVERAGE(AE3:AE30)</f>
        <v>0.6428571428571429</v>
      </c>
      <c r="AF34" s="3">
        <f t="shared" si="15"/>
        <v>1.3928571428571428</v>
      </c>
      <c r="AG34" s="30"/>
      <c r="AH34" s="30"/>
    </row>
    <row r="35" spans="1:34" x14ac:dyDescent="0.3">
      <c r="A35" s="14" t="s">
        <v>40</v>
      </c>
      <c r="B35" s="10">
        <f>MIN(B3:B30)</f>
        <v>35025</v>
      </c>
      <c r="C35" s="40"/>
      <c r="D35" s="61"/>
      <c r="E35" s="65" t="s">
        <v>204</v>
      </c>
      <c r="F35" s="66">
        <v>16</v>
      </c>
      <c r="G35" s="93">
        <f>MIN(G4:G30)</f>
        <v>98</v>
      </c>
      <c r="H35" s="82"/>
      <c r="I35" s="2">
        <f>MIN(I3:I30)</f>
        <v>81</v>
      </c>
      <c r="J35" s="40"/>
      <c r="K35" s="41"/>
      <c r="L35" s="11"/>
      <c r="M35" s="5">
        <f>MIN(M3:M30)</f>
        <v>30000000</v>
      </c>
      <c r="N35" s="5">
        <f t="shared" ref="N35:P35" si="16">MIN(N3:N30)</f>
        <v>946154</v>
      </c>
      <c r="O35" s="5">
        <f t="shared" si="16"/>
        <v>20414357</v>
      </c>
      <c r="P35" s="5">
        <f t="shared" si="16"/>
        <v>21813358</v>
      </c>
      <c r="Q35" s="11"/>
      <c r="R35" s="5">
        <f>MIN(R3:R30)</f>
        <v>-153186642</v>
      </c>
      <c r="S35" s="3">
        <f>MIN(S3:S30)</f>
        <v>7.6057853314854526E-2</v>
      </c>
      <c r="T35" s="3">
        <f>MIN(T3:T30)</f>
        <v>0.12464776</v>
      </c>
      <c r="U35" s="4">
        <f>MIN(U3:U30)</f>
        <v>7.7614753623315618E-3</v>
      </c>
      <c r="V35" s="4">
        <f>MIN(V3:V30)</f>
        <v>0.43406446835030665</v>
      </c>
      <c r="W35" s="15"/>
      <c r="X35" s="2">
        <f t="shared" ref="X35:AF35" si="17">MIN(X3:X30)</f>
        <v>40</v>
      </c>
      <c r="Y35" s="2">
        <f t="shared" si="17"/>
        <v>91</v>
      </c>
      <c r="Z35" s="2">
        <f t="shared" si="17"/>
        <v>57</v>
      </c>
      <c r="AA35" s="2">
        <f t="shared" si="17"/>
        <v>23</v>
      </c>
      <c r="AB35" s="2">
        <f t="shared" si="17"/>
        <v>6.1</v>
      </c>
      <c r="AC35" s="2">
        <f t="shared" si="17"/>
        <v>127045</v>
      </c>
      <c r="AD35" s="11"/>
      <c r="AE35" s="2">
        <f t="shared" si="17"/>
        <v>0</v>
      </c>
      <c r="AF35" s="2">
        <f t="shared" si="17"/>
        <v>0</v>
      </c>
      <c r="AG35" s="11"/>
      <c r="AH35" s="11"/>
    </row>
    <row r="36" spans="1:34" x14ac:dyDescent="0.3">
      <c r="A36" s="14" t="s">
        <v>42</v>
      </c>
      <c r="B36" s="17" t="str">
        <f>VLOOKUP(B35,B3:$AI30,34,FALSE)</f>
        <v>Toy Story</v>
      </c>
      <c r="C36" s="18"/>
      <c r="D36" s="62"/>
      <c r="E36" s="65" t="s">
        <v>205</v>
      </c>
      <c r="F36" s="66">
        <v>7</v>
      </c>
      <c r="G36" s="95" t="str">
        <f>_xlfn.CONCAT(VLOOKUP(G35,G3:$AJ30,30,FALSE)," - ",VLOOKUP(G35,G3:$AI30,29,FALSE))</f>
        <v>Turning Red - Lightyear</v>
      </c>
      <c r="H36" s="94"/>
      <c r="I36" s="17" t="str">
        <f>VLOOKUP(I35,I3:$AI30,27,FALSE)</f>
        <v>Toy Story</v>
      </c>
      <c r="J36" s="18"/>
      <c r="K36" s="18"/>
      <c r="L36" s="18"/>
      <c r="M36" s="17" t="str">
        <f>VLOOKUP(M35,M3:$AI30,23,FALSE)</f>
        <v>Toy Story</v>
      </c>
      <c r="N36" s="17" t="str">
        <f>VLOOKUP(N35,N3:$AI30,22,FALSE)</f>
        <v>Soul</v>
      </c>
      <c r="O36" s="17" t="str">
        <f>VLOOKUP(O35,O3:$AI30,21,FALSE)</f>
        <v>Turning Red</v>
      </c>
      <c r="P36" s="17" t="str">
        <f>VLOOKUP(P35,P3:$AI30,20,FALSE)</f>
        <v>Turning Red</v>
      </c>
      <c r="Q36" s="18"/>
      <c r="R36" s="17" t="str">
        <f>VLOOKUP(R35,R3:$AI30,18,FALSE)</f>
        <v>Turning Red</v>
      </c>
      <c r="S36" s="17" t="str">
        <f>VLOOKUP(S35,S3:$AI30,17,FALSE)</f>
        <v>Toy Story</v>
      </c>
      <c r="T36" s="17" t="str">
        <f>VLOOKUP(T35,T3:$AI30,16,FALSE)</f>
        <v>Turning Red</v>
      </c>
      <c r="U36" s="17" t="str">
        <f>VLOOKUP(U35,U3:$AI30,15,FALSE)</f>
        <v>Soul</v>
      </c>
      <c r="V36" s="17" t="str">
        <f>VLOOKUP(V35,V3:$AI30,14,FALSE)</f>
        <v>Toy Story</v>
      </c>
      <c r="W36" s="18"/>
      <c r="X36" s="17" t="str">
        <f>VLOOKUP(X35,X3:$AI30,12,FALSE)</f>
        <v>Cars 2</v>
      </c>
      <c r="Y36" s="17" t="str">
        <f>VLOOKUP(Y35,Y3:$AI30,11,FALSE)</f>
        <v>A Bug's Life</v>
      </c>
      <c r="Z36" s="17" t="str">
        <f>VLOOKUP(Z35,Z3:$AI30,10,FALSE)</f>
        <v>Cars 2</v>
      </c>
      <c r="AA36" s="17" t="str">
        <f>VLOOKUP(AA35,AA3:$AI30,9,FALSE)</f>
        <v>A Bug's Life</v>
      </c>
      <c r="AB36" s="17" t="str">
        <f>VLOOKUP(AB35,AB3:$AI30,8,FALSE)</f>
        <v>Lightyear</v>
      </c>
      <c r="AC36" s="17" t="str">
        <f>VLOOKUP(AC35,AC3:$AI30,7,FALSE)</f>
        <v>Lightyear</v>
      </c>
      <c r="AD36" s="18"/>
      <c r="AE36" s="32"/>
      <c r="AF36" s="18"/>
      <c r="AG36" s="18"/>
      <c r="AH36" s="18"/>
    </row>
    <row r="37" spans="1:34" ht="15" thickBot="1" x14ac:dyDescent="0.35">
      <c r="A37" s="14" t="s">
        <v>41</v>
      </c>
      <c r="B37" s="10">
        <f>MAX(B3:B30)</f>
        <v>45457</v>
      </c>
      <c r="C37" s="46"/>
      <c r="D37" s="63"/>
      <c r="E37" s="67" t="s">
        <v>206</v>
      </c>
      <c r="F37" s="89">
        <v>1</v>
      </c>
      <c r="G37" s="81">
        <f>MAX(G4:G30)</f>
        <v>1099</v>
      </c>
      <c r="H37" s="82"/>
      <c r="I37" s="91">
        <f>MAX(I3:I30)</f>
        <v>118</v>
      </c>
      <c r="J37" s="11"/>
      <c r="K37" s="11"/>
      <c r="L37" s="11"/>
      <c r="M37" s="5">
        <f>MAX(M3:M30)</f>
        <v>200000000</v>
      </c>
      <c r="N37" s="5">
        <f t="shared" ref="N37:O37" si="18">MAX(N3:N30)</f>
        <v>652980194</v>
      </c>
      <c r="O37" s="5">
        <f t="shared" si="18"/>
        <v>1045050771</v>
      </c>
      <c r="P37" s="5">
        <f>MAX(P3:P30)</f>
        <v>1698030965</v>
      </c>
      <c r="Q37" s="11"/>
      <c r="R37" s="5">
        <f>MAX(R3:R30)</f>
        <v>1498030965</v>
      </c>
      <c r="S37" s="3">
        <f>MAX(S3:S30)</f>
        <v>8.022607064900324</v>
      </c>
      <c r="T37" s="3">
        <f>MAX(T3:T30)</f>
        <v>13.1478862</v>
      </c>
      <c r="U37" s="4">
        <f>MAX(U3:U30)</f>
        <v>0.56593553164969335</v>
      </c>
      <c r="V37" s="4">
        <f>MAX(V3:V30)</f>
        <v>0.99223852463766848</v>
      </c>
      <c r="W37" s="15"/>
      <c r="X37" s="2">
        <f t="shared" ref="X37:AF37" si="19">MAX(X3:X30)</f>
        <v>100</v>
      </c>
      <c r="Y37" s="2">
        <f t="shared" si="19"/>
        <v>459</v>
      </c>
      <c r="Z37" s="2">
        <f t="shared" si="19"/>
        <v>96</v>
      </c>
      <c r="AA37" s="2">
        <f t="shared" si="19"/>
        <v>59</v>
      </c>
      <c r="AB37" s="2">
        <f t="shared" si="19"/>
        <v>8.4</v>
      </c>
      <c r="AC37" s="2">
        <f t="shared" si="19"/>
        <v>1226415</v>
      </c>
      <c r="AD37" s="11"/>
      <c r="AE37" s="2">
        <f t="shared" si="19"/>
        <v>2</v>
      </c>
      <c r="AF37" s="2">
        <f t="shared" si="19"/>
        <v>5</v>
      </c>
      <c r="AG37" s="11"/>
      <c r="AH37" s="11"/>
    </row>
    <row r="38" spans="1:34" x14ac:dyDescent="0.3">
      <c r="A38" s="14" t="s">
        <v>43</v>
      </c>
      <c r="B38" s="7" t="str">
        <f>VLOOKUP(B37,B3:$AI30,34,FALSE)</f>
        <v>Inside Out 2</v>
      </c>
      <c r="C38" s="12"/>
      <c r="D38" s="12"/>
      <c r="E38" s="41"/>
      <c r="F38" s="90"/>
      <c r="G38" s="96" t="str">
        <f>_xlfn.CONCAT(VLOOKUP(G37,G3:$AJ30,30,FALSE)," - ",VLOOKUP(G37,G3:$AI30,29,FALSE))</f>
        <v>Toy Story - A Bug's Life</v>
      </c>
      <c r="H38" s="97"/>
      <c r="I38" s="92" t="str">
        <f>VLOOKUP(I37,I3:$AI30,27,FALSE)</f>
        <v>Incredibles 2</v>
      </c>
      <c r="J38" s="12"/>
      <c r="K38" s="12"/>
      <c r="L38" s="12"/>
      <c r="M38" s="7" t="str">
        <f>VLOOKUP(M37,M3:$AI30,23,FALSE)</f>
        <v>Toy Story 3</v>
      </c>
      <c r="N38" s="7" t="str">
        <f>VLOOKUP(N37,N3:$AI30,22,FALSE)</f>
        <v>Inside Out 2</v>
      </c>
      <c r="O38" s="7" t="str">
        <f>VLOOKUP(O37,O3:$AI30,21,FALSE)</f>
        <v>Inside Out 2</v>
      </c>
      <c r="P38" s="7" t="str">
        <f>VLOOKUP(P37,P3:$AI30,20,FALSE)</f>
        <v>Inside Out 2</v>
      </c>
      <c r="Q38" s="12"/>
      <c r="R38" s="7" t="str">
        <f>VLOOKUP(R37,R3:$AI30,18,FALSE)</f>
        <v>Inside Out 2</v>
      </c>
      <c r="S38" s="7" t="str">
        <f>VLOOKUP(S37,S3:$AI30,17,FALSE)</f>
        <v>Turning Red</v>
      </c>
      <c r="T38" s="7" t="str">
        <f>VLOOKUP(T37,T3:$AI30,16,FALSE)</f>
        <v>Toy Story</v>
      </c>
      <c r="U38" s="7" t="str">
        <f>VLOOKUP(U37,U3:$AI30,15,FALSE)</f>
        <v>Toy Story</v>
      </c>
      <c r="V38" s="7" t="str">
        <f>VLOOKUP(V37,V3:$AI30,14,FALSE)</f>
        <v>Soul</v>
      </c>
      <c r="W38" s="12"/>
      <c r="X38" s="7" t="str">
        <f>VLOOKUP(X37,X3:$AI30,12,FALSE)</f>
        <v>Toy Story</v>
      </c>
      <c r="Y38" s="7" t="str">
        <f>VLOOKUP(Y37,Y3:$AI30,11,FALSE)</f>
        <v>Toy Story 4</v>
      </c>
      <c r="Z38" s="7" t="str">
        <f>VLOOKUP(Z37,Z3:$AI30,10,FALSE)</f>
        <v>Ratatouille</v>
      </c>
      <c r="AA38" s="7" t="str">
        <f>VLOOKUP(AA37,AA3:$AI30,9,FALSE)</f>
        <v>Inside Out 2</v>
      </c>
      <c r="AB38" s="7" t="str">
        <f>VLOOKUP(AB37,AB3:$AI30,8,FALSE)</f>
        <v>WALL-E</v>
      </c>
      <c r="AC38" s="7" t="str">
        <f>VLOOKUP(AC37,AC3:$AI30,7,FALSE)</f>
        <v>WALL-E</v>
      </c>
      <c r="AD38" s="12"/>
      <c r="AE38" s="7" t="str">
        <f>VLOOKUP(AE37,AE3:$AI30,5,FALSE)</f>
        <v>The Incredibles</v>
      </c>
      <c r="AF38" s="7" t="str">
        <f>VLOOKUP(AF37,AF3:$AI30,4,FALSE)</f>
        <v>WALL-E</v>
      </c>
      <c r="AG38" s="11"/>
      <c r="AH38" s="11"/>
    </row>
    <row r="39" spans="1:34" x14ac:dyDescent="0.3">
      <c r="G39" s="98" t="s">
        <v>210</v>
      </c>
      <c r="H39" s="99">
        <f>MEDIAN(G4:H30)</f>
        <v>364</v>
      </c>
    </row>
    <row r="41" spans="1:34" x14ac:dyDescent="0.3">
      <c r="G41" s="22"/>
      <c r="H41" s="22"/>
    </row>
    <row r="42" spans="1:34" x14ac:dyDescent="0.3">
      <c r="R42" s="6"/>
    </row>
    <row r="43" spans="1:34" x14ac:dyDescent="0.3">
      <c r="B43" s="16"/>
      <c r="C43" s="16"/>
      <c r="D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8" spans="1:34" x14ac:dyDescent="0.3">
      <c r="D48" s="47"/>
    </row>
    <row r="49" spans="3:4" x14ac:dyDescent="0.3">
      <c r="D49" s="47"/>
    </row>
    <row r="50" spans="3:4" x14ac:dyDescent="0.3">
      <c r="C50" s="47"/>
      <c r="D50" s="47"/>
    </row>
    <row r="51" spans="3:4" x14ac:dyDescent="0.3">
      <c r="C51" s="47"/>
      <c r="D51" s="47"/>
    </row>
    <row r="52" spans="3:4" x14ac:dyDescent="0.3">
      <c r="C52" s="47"/>
      <c r="D52" s="47"/>
    </row>
    <row r="53" spans="3:4" x14ac:dyDescent="0.3">
      <c r="C53" s="47"/>
      <c r="D53" s="47"/>
    </row>
    <row r="54" spans="3:4" x14ac:dyDescent="0.3">
      <c r="C54" s="47"/>
      <c r="D54" s="47"/>
    </row>
    <row r="55" spans="3:4" x14ac:dyDescent="0.3">
      <c r="C55" s="47"/>
      <c r="D55" s="47"/>
    </row>
    <row r="56" spans="3:4" x14ac:dyDescent="0.3">
      <c r="C56" s="47"/>
      <c r="D56" s="47"/>
    </row>
    <row r="57" spans="3:4" x14ac:dyDescent="0.3">
      <c r="C57" s="47"/>
      <c r="D57" s="47"/>
    </row>
    <row r="58" spans="3:4" x14ac:dyDescent="0.3">
      <c r="C58" s="47"/>
      <c r="D58" s="47"/>
    </row>
    <row r="59" spans="3:4" x14ac:dyDescent="0.3">
      <c r="C59" s="47"/>
      <c r="D59" s="47"/>
    </row>
    <row r="60" spans="3:4" x14ac:dyDescent="0.3">
      <c r="C60" s="47"/>
      <c r="D60" s="47"/>
    </row>
    <row r="61" spans="3:4" x14ac:dyDescent="0.3">
      <c r="C61" s="47"/>
      <c r="D61" s="47"/>
    </row>
    <row r="62" spans="3:4" x14ac:dyDescent="0.3">
      <c r="C62" s="47"/>
      <c r="D62" s="47"/>
    </row>
    <row r="63" spans="3:4" x14ac:dyDescent="0.3">
      <c r="C63" s="47"/>
      <c r="D63" s="47"/>
    </row>
    <row r="64" spans="3:4" x14ac:dyDescent="0.3">
      <c r="C64" s="47"/>
      <c r="D64" s="47"/>
    </row>
    <row r="65" spans="3:6" x14ac:dyDescent="0.3">
      <c r="C65" s="47"/>
      <c r="D65" s="47"/>
      <c r="E65" s="47"/>
      <c r="F65" s="47"/>
    </row>
    <row r="66" spans="3:6" x14ac:dyDescent="0.3">
      <c r="C66" s="47"/>
      <c r="D66" s="47"/>
      <c r="E66" s="47"/>
      <c r="F66" s="47"/>
    </row>
    <row r="67" spans="3:6" x14ac:dyDescent="0.3">
      <c r="C67" s="47"/>
      <c r="D67" s="47"/>
      <c r="E67" s="53"/>
      <c r="F67" s="53"/>
    </row>
    <row r="68" spans="3:6" x14ac:dyDescent="0.3">
      <c r="C68" s="47"/>
      <c r="D68" s="47"/>
      <c r="E68" s="53"/>
      <c r="F68" s="53"/>
    </row>
    <row r="69" spans="3:6" x14ac:dyDescent="0.3">
      <c r="C69" s="47"/>
      <c r="D69" s="47"/>
      <c r="E69" s="53"/>
      <c r="F69" s="53"/>
    </row>
    <row r="70" spans="3:6" x14ac:dyDescent="0.3">
      <c r="C70" s="47"/>
      <c r="D70" s="47"/>
      <c r="E70" s="53"/>
      <c r="F70" s="53"/>
    </row>
    <row r="71" spans="3:6" x14ac:dyDescent="0.3">
      <c r="C71" s="47"/>
      <c r="D71" s="47"/>
      <c r="E71" s="53"/>
      <c r="F71" s="53"/>
    </row>
    <row r="72" spans="3:6" x14ac:dyDescent="0.3">
      <c r="C72" s="47"/>
      <c r="D72" s="47"/>
      <c r="E72" s="53"/>
      <c r="F72" s="53"/>
    </row>
    <row r="73" spans="3:6" x14ac:dyDescent="0.3">
      <c r="C73" s="47"/>
      <c r="D73" s="47"/>
      <c r="E73" s="53"/>
      <c r="F73" s="53"/>
    </row>
    <row r="74" spans="3:6" x14ac:dyDescent="0.3">
      <c r="C74" s="47"/>
      <c r="D74" s="47"/>
      <c r="E74" s="53"/>
      <c r="F74" s="53"/>
    </row>
    <row r="75" spans="3:6" x14ac:dyDescent="0.3">
      <c r="C75" s="47"/>
      <c r="D75" s="47"/>
      <c r="E75" s="53"/>
      <c r="F75" s="53"/>
    </row>
    <row r="76" spans="3:6" x14ac:dyDescent="0.3">
      <c r="C76" s="47"/>
      <c r="D76" s="47"/>
      <c r="E76" s="53"/>
      <c r="F76" s="53"/>
    </row>
    <row r="77" spans="3:6" x14ac:dyDescent="0.3">
      <c r="C77" s="47"/>
      <c r="D77" s="47"/>
      <c r="E77" s="53"/>
      <c r="F77" s="53"/>
    </row>
    <row r="78" spans="3:6" x14ac:dyDescent="0.3">
      <c r="C78" s="47"/>
      <c r="D78" s="47"/>
      <c r="E78" s="53"/>
      <c r="F78" s="53"/>
    </row>
    <row r="79" spans="3:6" x14ac:dyDescent="0.3">
      <c r="C79" s="47"/>
      <c r="D79" s="47"/>
      <c r="E79" s="53"/>
      <c r="F79" s="53"/>
    </row>
    <row r="80" spans="3:6" x14ac:dyDescent="0.3">
      <c r="C80" s="47"/>
      <c r="D80" s="47"/>
      <c r="E80" s="53"/>
      <c r="F80" s="53"/>
    </row>
    <row r="81" spans="3:6" x14ac:dyDescent="0.3">
      <c r="C81" s="47"/>
      <c r="D81" s="47"/>
      <c r="E81" s="53"/>
      <c r="F81" s="53"/>
    </row>
    <row r="82" spans="3:6" x14ac:dyDescent="0.3">
      <c r="C82" s="47"/>
      <c r="D82" s="47"/>
      <c r="E82" s="53"/>
      <c r="F82" s="53"/>
    </row>
    <row r="83" spans="3:6" x14ac:dyDescent="0.3">
      <c r="C83" s="47"/>
      <c r="D83" s="47"/>
      <c r="E83" s="53"/>
      <c r="F83" s="53"/>
    </row>
    <row r="84" spans="3:6" x14ac:dyDescent="0.3">
      <c r="C84" s="47"/>
      <c r="D84" s="47"/>
      <c r="E84" s="53"/>
      <c r="F84" s="53"/>
    </row>
    <row r="85" spans="3:6" x14ac:dyDescent="0.3">
      <c r="C85" s="47"/>
      <c r="D85" s="47"/>
      <c r="E85" s="53"/>
      <c r="F85" s="53"/>
    </row>
    <row r="86" spans="3:6" x14ac:dyDescent="0.3">
      <c r="C86" s="47"/>
      <c r="D86" s="47"/>
      <c r="E86" s="53"/>
      <c r="F86" s="53"/>
    </row>
    <row r="87" spans="3:6" x14ac:dyDescent="0.3">
      <c r="C87" s="47"/>
      <c r="D87" s="47"/>
      <c r="E87" s="53"/>
      <c r="F87" s="53"/>
    </row>
    <row r="88" spans="3:6" x14ac:dyDescent="0.3">
      <c r="C88" s="47"/>
      <c r="D88" s="47"/>
      <c r="E88" s="53"/>
      <c r="F88" s="53"/>
    </row>
    <row r="89" spans="3:6" x14ac:dyDescent="0.3">
      <c r="C89" s="47"/>
      <c r="D89" s="47"/>
      <c r="E89" s="53"/>
      <c r="F89" s="53"/>
    </row>
    <row r="90" spans="3:6" x14ac:dyDescent="0.3">
      <c r="C90" s="47"/>
      <c r="D90" s="47"/>
      <c r="E90" s="53"/>
      <c r="F90" s="53"/>
    </row>
    <row r="91" spans="3:6" x14ac:dyDescent="0.3">
      <c r="C91" s="47"/>
      <c r="D91" s="47"/>
      <c r="E91" s="53"/>
      <c r="F91" s="53"/>
    </row>
    <row r="92" spans="3:6" x14ac:dyDescent="0.3">
      <c r="C92" s="47"/>
      <c r="D92" s="47"/>
      <c r="E92" s="53"/>
      <c r="F92" s="53"/>
    </row>
    <row r="93" spans="3:6" x14ac:dyDescent="0.3">
      <c r="C93" s="47"/>
      <c r="D93" s="47"/>
      <c r="E93" s="53"/>
      <c r="F93" s="53"/>
    </row>
    <row r="94" spans="3:6" x14ac:dyDescent="0.3">
      <c r="C94" s="47"/>
      <c r="D94" s="47"/>
      <c r="E94" s="53"/>
      <c r="F94" s="53"/>
    </row>
  </sheetData>
  <mergeCells count="127">
    <mergeCell ref="G34:H34"/>
    <mergeCell ref="G35:H35"/>
    <mergeCell ref="G36:H36"/>
    <mergeCell ref="G37:H37"/>
    <mergeCell ref="G38:H38"/>
    <mergeCell ref="G28:H28"/>
    <mergeCell ref="G29:H29"/>
    <mergeCell ref="G30:H30"/>
    <mergeCell ref="G2:H2"/>
    <mergeCell ref="G33:H33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G8:H8"/>
    <mergeCell ref="G9:H9"/>
    <mergeCell ref="G10:H10"/>
    <mergeCell ref="G11:H11"/>
    <mergeCell ref="G12:H12"/>
    <mergeCell ref="G3:H3"/>
    <mergeCell ref="G4:H4"/>
    <mergeCell ref="G5:H5"/>
    <mergeCell ref="G6:H6"/>
    <mergeCell ref="G7:H7"/>
    <mergeCell ref="C30:D30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3:D13"/>
    <mergeCell ref="C14:D14"/>
    <mergeCell ref="C2:D2"/>
    <mergeCell ref="C8:D8"/>
    <mergeCell ref="C9:D9"/>
    <mergeCell ref="C10:D10"/>
    <mergeCell ref="C11:D11"/>
    <mergeCell ref="C12:D12"/>
    <mergeCell ref="C3:D3"/>
    <mergeCell ref="C4:D4"/>
    <mergeCell ref="C5:D5"/>
    <mergeCell ref="C6:D6"/>
    <mergeCell ref="C7:D7"/>
    <mergeCell ref="J20:K20"/>
    <mergeCell ref="J19:K19"/>
    <mergeCell ref="J18:K18"/>
    <mergeCell ref="J17:K17"/>
    <mergeCell ref="J16:K16"/>
    <mergeCell ref="J15:K15"/>
    <mergeCell ref="J14:K14"/>
    <mergeCell ref="J13:K13"/>
    <mergeCell ref="J12:K12"/>
    <mergeCell ref="J11:K11"/>
    <mergeCell ref="J2:K2"/>
    <mergeCell ref="J10:K10"/>
    <mergeCell ref="J9:K9"/>
    <mergeCell ref="J8:K8"/>
    <mergeCell ref="J7:K7"/>
    <mergeCell ref="J6:K6"/>
    <mergeCell ref="J5:K5"/>
    <mergeCell ref="J4:K4"/>
    <mergeCell ref="J3:K3"/>
    <mergeCell ref="J24:K24"/>
    <mergeCell ref="J23:K23"/>
    <mergeCell ref="J22:K22"/>
    <mergeCell ref="J21:K21"/>
    <mergeCell ref="J30:K30"/>
    <mergeCell ref="J29:K29"/>
    <mergeCell ref="J28:K28"/>
    <mergeCell ref="J27:K27"/>
    <mergeCell ref="J26:K26"/>
    <mergeCell ref="J25:K25"/>
    <mergeCell ref="AE1:AF1"/>
    <mergeCell ref="M1:P1"/>
    <mergeCell ref="R1:V1"/>
    <mergeCell ref="X1:AC1"/>
    <mergeCell ref="B1:K1"/>
    <mergeCell ref="E3:F3"/>
    <mergeCell ref="E4:F4"/>
    <mergeCell ref="E5:F5"/>
    <mergeCell ref="E6:F6"/>
    <mergeCell ref="E7:F7"/>
    <mergeCell ref="E15:F15"/>
    <mergeCell ref="E16:F16"/>
    <mergeCell ref="E17:F17"/>
    <mergeCell ref="E8:F8"/>
    <mergeCell ref="E9:F9"/>
    <mergeCell ref="E10:F10"/>
    <mergeCell ref="E11:F11"/>
    <mergeCell ref="E12:F12"/>
    <mergeCell ref="E28:F28"/>
    <mergeCell ref="E29:F29"/>
    <mergeCell ref="E30:F30"/>
    <mergeCell ref="E2:F2"/>
    <mergeCell ref="E23:F23"/>
    <mergeCell ref="E24:F24"/>
    <mergeCell ref="E25:F25"/>
    <mergeCell ref="E26:F26"/>
    <mergeCell ref="E27:F27"/>
    <mergeCell ref="E18:F18"/>
    <mergeCell ref="E19:F19"/>
    <mergeCell ref="E20:F20"/>
    <mergeCell ref="E21:F21"/>
    <mergeCell ref="E22:F22"/>
    <mergeCell ref="E13:F13"/>
    <mergeCell ref="E14:F14"/>
  </mergeCells>
  <phoneticPr fontId="20" type="noConversion"/>
  <conditionalFormatting sqref="C3:D30">
    <cfRule type="cellIs" dxfId="9" priority="9" operator="equal">
      <formula>"Fri"</formula>
    </cfRule>
    <cfRule type="cellIs" dxfId="8" priority="10" operator="equal">
      <formula>"Wed"</formula>
    </cfRule>
  </conditionalFormatting>
  <conditionalFormatting sqref="E3:F30">
    <cfRule type="cellIs" dxfId="7" priority="1" operator="equal">
      <formula>"Dec"</formula>
    </cfRule>
    <cfRule type="cellIs" dxfId="6" priority="2" operator="equal">
      <formula>"Nov"</formula>
    </cfRule>
    <cfRule type="cellIs" dxfId="5" priority="3" operator="equal">
      <formula>"Jun"</formula>
    </cfRule>
    <cfRule type="cellIs" dxfId="4" priority="4" operator="equal">
      <formula>"May"</formula>
    </cfRule>
    <cfRule type="cellIs" dxfId="3" priority="5" operator="equal">
      <formula>"Mar"</formula>
    </cfRule>
  </conditionalFormatting>
  <conditionalFormatting sqref="R3:R31">
    <cfRule type="cellIs" dxfId="2" priority="16" operator="lessThan">
      <formula>0</formula>
    </cfRule>
  </conditionalFormatting>
  <conditionalFormatting sqref="S3:S30">
    <cfRule type="cellIs" dxfId="1" priority="13" operator="greaterThan">
      <formula>1</formula>
    </cfRule>
  </conditionalFormatting>
  <conditionalFormatting sqref="T3:T30">
    <cfRule type="cellIs" dxfId="0" priority="11" operator="lessThan">
      <formula>1</formula>
    </cfRule>
  </conditionalFormatting>
  <pageMargins left="0.7" right="0.7" top="0.75" bottom="0.75" header="0.3" footer="0.3"/>
  <pageSetup paperSize="9" orientation="portrait" horizontalDpi="360" verticalDpi="360" r:id="rId1"/>
  <ignoredErrors>
    <ignoredError sqref="G34:G35 G3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EA1C-18D5-43BD-A741-B12E7983A20B}">
  <dimension ref="A2:A146"/>
  <sheetViews>
    <sheetView topLeftCell="A146" zoomScale="60" zoomScaleNormal="60" workbookViewId="0">
      <selection activeCell="AB29" sqref="AB29"/>
    </sheetView>
  </sheetViews>
  <sheetFormatPr defaultRowHeight="14.4" x14ac:dyDescent="0.3"/>
  <sheetData>
    <row r="2" spans="1:1" ht="28.8" x14ac:dyDescent="0.55000000000000004">
      <c r="A2" s="37" t="s">
        <v>197</v>
      </c>
    </row>
    <row r="65" spans="1:1" ht="29.4" x14ac:dyDescent="0.55000000000000004">
      <c r="A65" s="36" t="s">
        <v>198</v>
      </c>
    </row>
    <row r="108" spans="1:1" ht="29.4" x14ac:dyDescent="0.55000000000000004">
      <c r="A108" s="36" t="s">
        <v>199</v>
      </c>
    </row>
    <row r="146" spans="1:1" ht="29.4" x14ac:dyDescent="0.55000000000000004">
      <c r="A146" s="36" t="s">
        <v>196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BDBA-20F7-45A6-A10F-27C1A0C7CC4F}">
  <sheetPr filterMode="1"/>
  <dimension ref="A1:F24"/>
  <sheetViews>
    <sheetView workbookViewId="0">
      <selection activeCell="F7" sqref="F7"/>
    </sheetView>
  </sheetViews>
  <sheetFormatPr defaultRowHeight="14.4" x14ac:dyDescent="0.3"/>
  <cols>
    <col min="1" max="1" width="16.21875" bestFit="1" customWidth="1"/>
    <col min="2" max="2" width="12.5546875" bestFit="1" customWidth="1"/>
    <col min="3" max="3" width="18.33203125" bestFit="1" customWidth="1"/>
    <col min="4" max="4" width="13.6640625" bestFit="1" customWidth="1"/>
    <col min="5" max="5" width="14.109375" bestFit="1" customWidth="1"/>
    <col min="6" max="6" width="20.88671875" bestFit="1" customWidth="1"/>
  </cols>
  <sheetData>
    <row r="1" spans="1:6" x14ac:dyDescent="0.3">
      <c r="A1" s="33" t="s">
        <v>98</v>
      </c>
      <c r="B1" s="33" t="s">
        <v>191</v>
      </c>
      <c r="C1" s="33" t="s">
        <v>192</v>
      </c>
      <c r="D1" s="33" t="s">
        <v>187</v>
      </c>
      <c r="E1" s="33" t="s">
        <v>194</v>
      </c>
      <c r="F1" s="33" t="s">
        <v>195</v>
      </c>
    </row>
    <row r="2" spans="1:6" x14ac:dyDescent="0.3">
      <c r="A2" t="s">
        <v>76</v>
      </c>
      <c r="B2">
        <v>6</v>
      </c>
      <c r="C2">
        <v>10</v>
      </c>
      <c r="D2">
        <v>5</v>
      </c>
      <c r="E2">
        <f t="shared" ref="E2:E24" si="0">B2/D2</f>
        <v>1.2</v>
      </c>
      <c r="F2">
        <f t="shared" ref="F2:F24" si="1">C2/D2</f>
        <v>2</v>
      </c>
    </row>
    <row r="3" spans="1:6" x14ac:dyDescent="0.3">
      <c r="A3" t="s">
        <v>109</v>
      </c>
      <c r="B3">
        <v>6</v>
      </c>
      <c r="C3">
        <v>9</v>
      </c>
      <c r="D3">
        <v>4</v>
      </c>
      <c r="E3">
        <f t="shared" si="0"/>
        <v>1.5</v>
      </c>
      <c r="F3">
        <f t="shared" si="1"/>
        <v>2.25</v>
      </c>
    </row>
    <row r="4" spans="1:6" x14ac:dyDescent="0.3">
      <c r="A4" t="s">
        <v>71</v>
      </c>
      <c r="B4">
        <v>3</v>
      </c>
      <c r="C4">
        <v>7</v>
      </c>
      <c r="D4">
        <v>3</v>
      </c>
      <c r="E4">
        <f t="shared" si="0"/>
        <v>1</v>
      </c>
      <c r="F4" s="9">
        <f t="shared" si="1"/>
        <v>2.3333333333333335</v>
      </c>
    </row>
    <row r="5" spans="1:6" x14ac:dyDescent="0.3">
      <c r="A5" t="s">
        <v>147</v>
      </c>
      <c r="B5">
        <v>3</v>
      </c>
      <c r="C5">
        <v>0</v>
      </c>
      <c r="D5">
        <v>3</v>
      </c>
      <c r="E5">
        <f t="shared" si="0"/>
        <v>1</v>
      </c>
      <c r="F5">
        <f t="shared" si="1"/>
        <v>0</v>
      </c>
    </row>
    <row r="6" spans="1:6" x14ac:dyDescent="0.3">
      <c r="A6" t="s">
        <v>74</v>
      </c>
      <c r="B6">
        <v>2</v>
      </c>
      <c r="C6">
        <v>9</v>
      </c>
      <c r="D6">
        <v>4</v>
      </c>
      <c r="E6">
        <f>B6/D6</f>
        <v>0.5</v>
      </c>
      <c r="F6">
        <f>C6/D6</f>
        <v>2.25</v>
      </c>
    </row>
    <row r="7" spans="1:6" x14ac:dyDescent="0.3">
      <c r="A7" t="s">
        <v>129</v>
      </c>
      <c r="B7">
        <v>2</v>
      </c>
      <c r="C7">
        <v>3</v>
      </c>
      <c r="D7">
        <v>1</v>
      </c>
      <c r="E7">
        <f t="shared" si="0"/>
        <v>2</v>
      </c>
      <c r="F7">
        <f t="shared" si="1"/>
        <v>3</v>
      </c>
    </row>
    <row r="8" spans="1:6" x14ac:dyDescent="0.3">
      <c r="A8" t="s">
        <v>173</v>
      </c>
      <c r="B8">
        <v>2</v>
      </c>
      <c r="C8">
        <v>2</v>
      </c>
      <c r="D8">
        <v>1</v>
      </c>
      <c r="E8">
        <f t="shared" si="0"/>
        <v>2</v>
      </c>
      <c r="F8">
        <f t="shared" si="1"/>
        <v>2</v>
      </c>
    </row>
    <row r="9" spans="1:6" x14ac:dyDescent="0.3">
      <c r="A9" t="s">
        <v>161</v>
      </c>
      <c r="B9">
        <v>2</v>
      </c>
      <c r="C9">
        <v>0</v>
      </c>
      <c r="D9">
        <v>1</v>
      </c>
      <c r="E9">
        <f t="shared" si="0"/>
        <v>2</v>
      </c>
      <c r="F9">
        <f t="shared" si="1"/>
        <v>0</v>
      </c>
    </row>
    <row r="10" spans="1:6" x14ac:dyDescent="0.3">
      <c r="A10" t="s">
        <v>66</v>
      </c>
      <c r="B10">
        <v>1</v>
      </c>
      <c r="C10">
        <v>7</v>
      </c>
      <c r="D10">
        <v>5</v>
      </c>
      <c r="E10">
        <f t="shared" si="0"/>
        <v>0.2</v>
      </c>
      <c r="F10">
        <f t="shared" si="1"/>
        <v>1.4</v>
      </c>
    </row>
    <row r="11" spans="1:6" x14ac:dyDescent="0.3">
      <c r="A11" t="s">
        <v>137</v>
      </c>
      <c r="B11">
        <v>1</v>
      </c>
      <c r="C11">
        <v>4</v>
      </c>
      <c r="D11">
        <v>1</v>
      </c>
      <c r="E11">
        <f t="shared" si="0"/>
        <v>1</v>
      </c>
      <c r="F11">
        <f t="shared" si="1"/>
        <v>4</v>
      </c>
    </row>
    <row r="12" spans="1:6" x14ac:dyDescent="0.3">
      <c r="A12" t="s">
        <v>122</v>
      </c>
      <c r="B12">
        <v>1</v>
      </c>
      <c r="C12">
        <v>3</v>
      </c>
      <c r="D12">
        <v>1</v>
      </c>
      <c r="E12">
        <f t="shared" si="0"/>
        <v>1</v>
      </c>
      <c r="F12">
        <f t="shared" si="1"/>
        <v>3</v>
      </c>
    </row>
    <row r="13" spans="1:6" x14ac:dyDescent="0.3">
      <c r="A13" t="s">
        <v>84</v>
      </c>
      <c r="B13">
        <v>1</v>
      </c>
      <c r="C13">
        <v>1</v>
      </c>
      <c r="D13">
        <v>1</v>
      </c>
      <c r="E13">
        <f t="shared" si="0"/>
        <v>1</v>
      </c>
      <c r="F13">
        <f t="shared" si="1"/>
        <v>1</v>
      </c>
    </row>
    <row r="14" spans="1:6" x14ac:dyDescent="0.3">
      <c r="A14" t="s">
        <v>150</v>
      </c>
      <c r="B14">
        <v>1</v>
      </c>
      <c r="C14">
        <v>1</v>
      </c>
      <c r="D14">
        <v>1</v>
      </c>
      <c r="E14">
        <f t="shared" si="0"/>
        <v>1</v>
      </c>
      <c r="F14">
        <f t="shared" si="1"/>
        <v>1</v>
      </c>
    </row>
    <row r="15" spans="1:6" hidden="1" x14ac:dyDescent="0.3">
      <c r="A15" t="s">
        <v>110</v>
      </c>
      <c r="B15">
        <v>0</v>
      </c>
      <c r="C15">
        <v>2</v>
      </c>
      <c r="D15">
        <v>1</v>
      </c>
      <c r="E15">
        <f t="shared" si="0"/>
        <v>0</v>
      </c>
      <c r="F15">
        <f t="shared" si="1"/>
        <v>2</v>
      </c>
    </row>
    <row r="16" spans="1:6" hidden="1" x14ac:dyDescent="0.3">
      <c r="A16" t="s">
        <v>116</v>
      </c>
      <c r="B16">
        <v>0</v>
      </c>
      <c r="C16">
        <v>1</v>
      </c>
      <c r="D16">
        <v>1</v>
      </c>
      <c r="E16">
        <f t="shared" si="0"/>
        <v>0</v>
      </c>
      <c r="F16">
        <f t="shared" si="1"/>
        <v>1</v>
      </c>
    </row>
    <row r="17" spans="1:6" hidden="1" x14ac:dyDescent="0.3">
      <c r="A17" t="s">
        <v>87</v>
      </c>
      <c r="B17">
        <v>0</v>
      </c>
      <c r="C17">
        <v>1</v>
      </c>
      <c r="D17">
        <v>1</v>
      </c>
      <c r="E17">
        <f t="shared" si="0"/>
        <v>0</v>
      </c>
      <c r="F17">
        <f t="shared" si="1"/>
        <v>1</v>
      </c>
    </row>
    <row r="18" spans="1:6" hidden="1" x14ac:dyDescent="0.3">
      <c r="A18" t="s">
        <v>89</v>
      </c>
      <c r="B18">
        <v>0</v>
      </c>
      <c r="C18">
        <v>1</v>
      </c>
      <c r="D18">
        <v>1</v>
      </c>
      <c r="E18">
        <f t="shared" si="0"/>
        <v>0</v>
      </c>
      <c r="F18">
        <f t="shared" si="1"/>
        <v>1</v>
      </c>
    </row>
    <row r="19" spans="1:6" hidden="1" x14ac:dyDescent="0.3">
      <c r="A19" t="s">
        <v>78</v>
      </c>
      <c r="B19">
        <v>0</v>
      </c>
      <c r="C19">
        <v>1</v>
      </c>
      <c r="D19">
        <v>2</v>
      </c>
      <c r="E19">
        <f t="shared" si="0"/>
        <v>0</v>
      </c>
      <c r="F19">
        <f t="shared" si="1"/>
        <v>0.5</v>
      </c>
    </row>
    <row r="20" spans="1:6" hidden="1" x14ac:dyDescent="0.3">
      <c r="A20" t="s">
        <v>80</v>
      </c>
      <c r="B20">
        <v>0</v>
      </c>
      <c r="C20">
        <v>1</v>
      </c>
      <c r="D20">
        <v>2</v>
      </c>
      <c r="E20">
        <f t="shared" si="0"/>
        <v>0</v>
      </c>
      <c r="F20">
        <f t="shared" si="1"/>
        <v>0.5</v>
      </c>
    </row>
    <row r="21" spans="1:6" hidden="1" x14ac:dyDescent="0.3">
      <c r="A21" t="s">
        <v>138</v>
      </c>
      <c r="B21">
        <v>0</v>
      </c>
      <c r="C21">
        <v>0</v>
      </c>
      <c r="D21">
        <v>1</v>
      </c>
      <c r="E21">
        <f t="shared" si="0"/>
        <v>0</v>
      </c>
      <c r="F21">
        <f t="shared" si="1"/>
        <v>0</v>
      </c>
    </row>
    <row r="22" spans="1:6" hidden="1" x14ac:dyDescent="0.3">
      <c r="A22" t="s">
        <v>82</v>
      </c>
      <c r="B22">
        <v>0</v>
      </c>
      <c r="C22">
        <v>0</v>
      </c>
      <c r="D22">
        <v>1</v>
      </c>
      <c r="E22">
        <f t="shared" si="0"/>
        <v>0</v>
      </c>
      <c r="F22">
        <f t="shared" si="1"/>
        <v>0</v>
      </c>
    </row>
    <row r="23" spans="1:6" hidden="1" x14ac:dyDescent="0.3">
      <c r="A23" t="s">
        <v>86</v>
      </c>
      <c r="B23">
        <v>0</v>
      </c>
      <c r="C23">
        <v>0</v>
      </c>
      <c r="D23">
        <v>1</v>
      </c>
      <c r="E23">
        <f t="shared" si="0"/>
        <v>0</v>
      </c>
      <c r="F23">
        <f t="shared" si="1"/>
        <v>0</v>
      </c>
    </row>
    <row r="24" spans="1:6" hidden="1" x14ac:dyDescent="0.3">
      <c r="A24" t="s">
        <v>88</v>
      </c>
      <c r="B24">
        <v>0</v>
      </c>
      <c r="C24">
        <v>0</v>
      </c>
      <c r="D24">
        <v>2</v>
      </c>
      <c r="E24">
        <f t="shared" si="0"/>
        <v>0</v>
      </c>
      <c r="F24">
        <f t="shared" si="1"/>
        <v>0</v>
      </c>
    </row>
  </sheetData>
  <autoFilter ref="A1:F24" xr:uid="{6F47BDBA-20F7-45A6-A10F-27C1A0C7CC4F}">
    <filterColumn colId="1">
      <filters>
        <filter val="1"/>
        <filter val="2"/>
        <filter val="3"/>
        <filter val="6"/>
      </filters>
    </filterColumn>
  </autoFilter>
  <sortState xmlns:xlrd2="http://schemas.microsoft.com/office/spreadsheetml/2017/richdata2" ref="A2:F24">
    <sortCondition descending="1" ref="B2:B24"/>
    <sortCondition descending="1" ref="C2:C2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A60C-635F-4865-AB14-E60A4DACABEE}">
  <sheetPr filterMode="1"/>
  <dimension ref="A2:F31"/>
  <sheetViews>
    <sheetView workbookViewId="0">
      <selection activeCell="C35" sqref="C35"/>
    </sheetView>
  </sheetViews>
  <sheetFormatPr defaultRowHeight="14.4" x14ac:dyDescent="0.3"/>
  <cols>
    <col min="1" max="1" width="16.21875" bestFit="1" customWidth="1"/>
    <col min="2" max="2" width="10.109375" bestFit="1" customWidth="1"/>
    <col min="3" max="3" width="15.44140625" bestFit="1" customWidth="1"/>
    <col min="4" max="4" width="11" bestFit="1" customWidth="1"/>
    <col min="5" max="5" width="11.88671875" bestFit="1" customWidth="1"/>
    <col min="6" max="6" width="18.6640625" bestFit="1" customWidth="1"/>
  </cols>
  <sheetData>
    <row r="2" spans="1:6" x14ac:dyDescent="0.3">
      <c r="A2" s="33" t="s">
        <v>98</v>
      </c>
      <c r="B2" s="33" t="s">
        <v>191</v>
      </c>
      <c r="C2" s="33" t="s">
        <v>192</v>
      </c>
      <c r="D2" s="33" t="s">
        <v>187</v>
      </c>
      <c r="E2" s="33" t="s">
        <v>194</v>
      </c>
      <c r="F2" s="33" t="s">
        <v>195</v>
      </c>
    </row>
    <row r="3" spans="1:6" x14ac:dyDescent="0.3">
      <c r="A3" t="s">
        <v>129</v>
      </c>
      <c r="B3">
        <v>2</v>
      </c>
      <c r="C3">
        <v>3</v>
      </c>
      <c r="D3">
        <v>1</v>
      </c>
      <c r="E3">
        <f t="shared" ref="E3:E25" si="0">B3/D3</f>
        <v>2</v>
      </c>
      <c r="F3">
        <f t="shared" ref="F3:F25" si="1">C3/D3</f>
        <v>3</v>
      </c>
    </row>
    <row r="4" spans="1:6" x14ac:dyDescent="0.3">
      <c r="A4" t="s">
        <v>173</v>
      </c>
      <c r="B4">
        <v>2</v>
      </c>
      <c r="C4">
        <v>2</v>
      </c>
      <c r="D4">
        <v>1</v>
      </c>
      <c r="E4">
        <f t="shared" si="0"/>
        <v>2</v>
      </c>
      <c r="F4">
        <f t="shared" si="1"/>
        <v>2</v>
      </c>
    </row>
    <row r="5" spans="1:6" x14ac:dyDescent="0.3">
      <c r="A5" t="s">
        <v>161</v>
      </c>
      <c r="B5">
        <v>2</v>
      </c>
      <c r="C5">
        <v>0</v>
      </c>
      <c r="D5">
        <v>1</v>
      </c>
      <c r="E5">
        <f t="shared" si="0"/>
        <v>2</v>
      </c>
      <c r="F5">
        <f t="shared" si="1"/>
        <v>0</v>
      </c>
    </row>
    <row r="6" spans="1:6" x14ac:dyDescent="0.3">
      <c r="A6" t="s">
        <v>109</v>
      </c>
      <c r="B6">
        <v>6</v>
      </c>
      <c r="C6">
        <v>9</v>
      </c>
      <c r="D6">
        <v>4</v>
      </c>
      <c r="E6">
        <f t="shared" si="0"/>
        <v>1.5</v>
      </c>
      <c r="F6">
        <f t="shared" si="1"/>
        <v>2.25</v>
      </c>
    </row>
    <row r="7" spans="1:6" x14ac:dyDescent="0.3">
      <c r="A7" t="s">
        <v>76</v>
      </c>
      <c r="B7">
        <v>6</v>
      </c>
      <c r="C7">
        <v>10</v>
      </c>
      <c r="D7">
        <v>5</v>
      </c>
      <c r="E7">
        <f t="shared" si="0"/>
        <v>1.2</v>
      </c>
      <c r="F7">
        <f t="shared" si="1"/>
        <v>2</v>
      </c>
    </row>
    <row r="8" spans="1:6" x14ac:dyDescent="0.3">
      <c r="A8" t="s">
        <v>137</v>
      </c>
      <c r="B8">
        <v>1</v>
      </c>
      <c r="C8">
        <v>4</v>
      </c>
      <c r="D8">
        <v>1</v>
      </c>
      <c r="E8">
        <f t="shared" si="0"/>
        <v>1</v>
      </c>
      <c r="F8">
        <f t="shared" si="1"/>
        <v>4</v>
      </c>
    </row>
    <row r="9" spans="1:6" x14ac:dyDescent="0.3">
      <c r="A9" t="s">
        <v>122</v>
      </c>
      <c r="B9">
        <v>1</v>
      </c>
      <c r="C9">
        <v>3</v>
      </c>
      <c r="D9">
        <v>1</v>
      </c>
      <c r="E9">
        <f t="shared" si="0"/>
        <v>1</v>
      </c>
      <c r="F9">
        <f t="shared" si="1"/>
        <v>3</v>
      </c>
    </row>
    <row r="10" spans="1:6" x14ac:dyDescent="0.3">
      <c r="A10" t="s">
        <v>71</v>
      </c>
      <c r="B10">
        <v>3</v>
      </c>
      <c r="C10">
        <v>7</v>
      </c>
      <c r="D10">
        <v>3</v>
      </c>
      <c r="E10">
        <f t="shared" si="0"/>
        <v>1</v>
      </c>
      <c r="F10" s="9">
        <f t="shared" si="1"/>
        <v>2.3333333333333335</v>
      </c>
    </row>
    <row r="11" spans="1:6" x14ac:dyDescent="0.3">
      <c r="A11" t="s">
        <v>84</v>
      </c>
      <c r="B11">
        <v>1</v>
      </c>
      <c r="C11">
        <v>1</v>
      </c>
      <c r="D11">
        <v>1</v>
      </c>
      <c r="E11">
        <f t="shared" si="0"/>
        <v>1</v>
      </c>
      <c r="F11">
        <f t="shared" si="1"/>
        <v>1</v>
      </c>
    </row>
    <row r="12" spans="1:6" x14ac:dyDescent="0.3">
      <c r="A12" t="s">
        <v>150</v>
      </c>
      <c r="B12">
        <v>1</v>
      </c>
      <c r="C12">
        <v>1</v>
      </c>
      <c r="D12">
        <v>1</v>
      </c>
      <c r="E12">
        <f t="shared" si="0"/>
        <v>1</v>
      </c>
      <c r="F12">
        <f t="shared" si="1"/>
        <v>1</v>
      </c>
    </row>
    <row r="13" spans="1:6" x14ac:dyDescent="0.3">
      <c r="A13" t="s">
        <v>147</v>
      </c>
      <c r="B13">
        <v>3</v>
      </c>
      <c r="C13">
        <v>0</v>
      </c>
      <c r="D13">
        <v>3</v>
      </c>
      <c r="E13">
        <f t="shared" si="0"/>
        <v>1</v>
      </c>
      <c r="F13">
        <f t="shared" si="1"/>
        <v>0</v>
      </c>
    </row>
    <row r="14" spans="1:6" x14ac:dyDescent="0.3">
      <c r="A14" t="s">
        <v>74</v>
      </c>
      <c r="B14">
        <v>2</v>
      </c>
      <c r="C14">
        <v>9</v>
      </c>
      <c r="D14">
        <v>4</v>
      </c>
      <c r="E14">
        <f t="shared" si="0"/>
        <v>0.5</v>
      </c>
      <c r="F14">
        <f t="shared" si="1"/>
        <v>2.25</v>
      </c>
    </row>
    <row r="15" spans="1:6" x14ac:dyDescent="0.3">
      <c r="A15" t="s">
        <v>66</v>
      </c>
      <c r="B15">
        <v>1</v>
      </c>
      <c r="C15">
        <v>7</v>
      </c>
      <c r="D15">
        <v>5</v>
      </c>
      <c r="E15">
        <f t="shared" si="0"/>
        <v>0.2</v>
      </c>
      <c r="F15">
        <f t="shared" si="1"/>
        <v>1.4</v>
      </c>
    </row>
    <row r="16" spans="1:6" hidden="1" x14ac:dyDescent="0.3">
      <c r="A16" t="s">
        <v>110</v>
      </c>
      <c r="B16">
        <v>0</v>
      </c>
      <c r="C16">
        <v>2</v>
      </c>
      <c r="D16">
        <v>1</v>
      </c>
      <c r="E16">
        <f t="shared" si="0"/>
        <v>0</v>
      </c>
      <c r="F16">
        <f t="shared" si="1"/>
        <v>2</v>
      </c>
    </row>
    <row r="17" spans="1:6" hidden="1" x14ac:dyDescent="0.3">
      <c r="A17" t="s">
        <v>116</v>
      </c>
      <c r="B17">
        <v>0</v>
      </c>
      <c r="C17">
        <v>1</v>
      </c>
      <c r="D17">
        <v>1</v>
      </c>
      <c r="E17">
        <f t="shared" si="0"/>
        <v>0</v>
      </c>
      <c r="F17">
        <f t="shared" si="1"/>
        <v>1</v>
      </c>
    </row>
    <row r="18" spans="1:6" hidden="1" x14ac:dyDescent="0.3">
      <c r="A18" t="s">
        <v>87</v>
      </c>
      <c r="B18">
        <v>0</v>
      </c>
      <c r="C18">
        <v>1</v>
      </c>
      <c r="D18">
        <v>1</v>
      </c>
      <c r="E18">
        <f t="shared" si="0"/>
        <v>0</v>
      </c>
      <c r="F18">
        <f t="shared" si="1"/>
        <v>1</v>
      </c>
    </row>
    <row r="19" spans="1:6" hidden="1" x14ac:dyDescent="0.3">
      <c r="A19" t="s">
        <v>89</v>
      </c>
      <c r="B19">
        <v>0</v>
      </c>
      <c r="C19">
        <v>1</v>
      </c>
      <c r="D19">
        <v>1</v>
      </c>
      <c r="E19">
        <f t="shared" si="0"/>
        <v>0</v>
      </c>
      <c r="F19">
        <f t="shared" si="1"/>
        <v>1</v>
      </c>
    </row>
    <row r="20" spans="1:6" hidden="1" x14ac:dyDescent="0.3">
      <c r="A20" t="s">
        <v>78</v>
      </c>
      <c r="B20">
        <v>0</v>
      </c>
      <c r="C20">
        <v>1</v>
      </c>
      <c r="D20">
        <v>2</v>
      </c>
      <c r="E20">
        <f t="shared" si="0"/>
        <v>0</v>
      </c>
      <c r="F20">
        <f t="shared" si="1"/>
        <v>0.5</v>
      </c>
    </row>
    <row r="21" spans="1:6" hidden="1" x14ac:dyDescent="0.3">
      <c r="A21" t="s">
        <v>80</v>
      </c>
      <c r="B21">
        <v>0</v>
      </c>
      <c r="C21">
        <v>1</v>
      </c>
      <c r="D21">
        <v>2</v>
      </c>
      <c r="E21">
        <f t="shared" si="0"/>
        <v>0</v>
      </c>
      <c r="F21">
        <f t="shared" si="1"/>
        <v>0.5</v>
      </c>
    </row>
    <row r="22" spans="1:6" hidden="1" x14ac:dyDescent="0.3">
      <c r="A22" t="s">
        <v>138</v>
      </c>
      <c r="B22">
        <v>0</v>
      </c>
      <c r="C22">
        <v>0</v>
      </c>
      <c r="D22">
        <v>1</v>
      </c>
      <c r="E22">
        <f t="shared" si="0"/>
        <v>0</v>
      </c>
      <c r="F22">
        <f t="shared" si="1"/>
        <v>0</v>
      </c>
    </row>
    <row r="23" spans="1:6" hidden="1" x14ac:dyDescent="0.3">
      <c r="A23" t="s">
        <v>82</v>
      </c>
      <c r="B23">
        <v>0</v>
      </c>
      <c r="C23">
        <v>0</v>
      </c>
      <c r="D23">
        <v>1</v>
      </c>
      <c r="E23">
        <f t="shared" si="0"/>
        <v>0</v>
      </c>
      <c r="F23">
        <f t="shared" si="1"/>
        <v>0</v>
      </c>
    </row>
    <row r="24" spans="1:6" hidden="1" x14ac:dyDescent="0.3">
      <c r="A24" t="s">
        <v>86</v>
      </c>
      <c r="B24">
        <v>0</v>
      </c>
      <c r="C24">
        <v>0</v>
      </c>
      <c r="D24">
        <v>1</v>
      </c>
      <c r="E24">
        <f t="shared" si="0"/>
        <v>0</v>
      </c>
      <c r="F24">
        <f t="shared" si="1"/>
        <v>0</v>
      </c>
    </row>
    <row r="25" spans="1:6" hidden="1" x14ac:dyDescent="0.3">
      <c r="A25" t="s">
        <v>88</v>
      </c>
      <c r="B25">
        <v>0</v>
      </c>
      <c r="C25">
        <v>0</v>
      </c>
      <c r="D25">
        <v>2</v>
      </c>
      <c r="E25">
        <f t="shared" si="0"/>
        <v>0</v>
      </c>
      <c r="F25">
        <f t="shared" si="1"/>
        <v>0</v>
      </c>
    </row>
    <row r="28" spans="1:6" x14ac:dyDescent="0.3">
      <c r="A28" s="33"/>
      <c r="B28" s="33"/>
      <c r="C28" s="33"/>
      <c r="D28" s="33"/>
      <c r="E28" s="33"/>
      <c r="F28" s="33"/>
    </row>
    <row r="31" spans="1:6" x14ac:dyDescent="0.3">
      <c r="F31" s="9"/>
    </row>
  </sheetData>
  <autoFilter ref="A2:F25" xr:uid="{F779A60C-635F-4865-AB14-E60A4DACABEE}">
    <filterColumn colId="4">
      <filters>
        <filter val="0.2"/>
        <filter val="0.5"/>
        <filter val="1"/>
        <filter val="1.2"/>
        <filter val="1.5"/>
        <filter val="2"/>
      </filters>
    </filterColumn>
  </autoFilter>
  <sortState xmlns:xlrd2="http://schemas.microsoft.com/office/spreadsheetml/2017/richdata2" ref="A29:F51">
    <sortCondition descending="1" ref="B29:B51"/>
    <sortCondition descending="1" ref="C29:C5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FEF7-0EE6-4C70-B719-FF48851E09C9}">
  <dimension ref="A1:M261"/>
  <sheetViews>
    <sheetView topLeftCell="A91" workbookViewId="0">
      <selection activeCell="H10" sqref="H10"/>
    </sheetView>
  </sheetViews>
  <sheetFormatPr defaultRowHeight="14.4" x14ac:dyDescent="0.3"/>
  <cols>
    <col min="10" max="10" width="16.21875" bestFit="1" customWidth="1"/>
    <col min="11" max="11" width="15.5546875" bestFit="1" customWidth="1"/>
    <col min="12" max="12" width="16.109375" bestFit="1" customWidth="1"/>
    <col min="13" max="13" width="11.44140625" bestFit="1" customWidth="1"/>
    <col min="14" max="15" width="6.109375" bestFit="1" customWidth="1"/>
    <col min="16" max="16" width="5.21875" bestFit="1" customWidth="1"/>
    <col min="17" max="17" width="9.44140625" bestFit="1" customWidth="1"/>
    <col min="18" max="18" width="11.21875" bestFit="1" customWidth="1"/>
    <col min="19" max="19" width="12.44140625" bestFit="1" customWidth="1"/>
    <col min="20" max="20" width="11.77734375" bestFit="1" customWidth="1"/>
    <col min="21" max="21" width="9.44140625" bestFit="1" customWidth="1"/>
    <col min="22" max="22" width="10.77734375" bestFit="1" customWidth="1"/>
    <col min="23" max="23" width="8.5546875" bestFit="1" customWidth="1"/>
    <col min="24" max="24" width="4.88671875" bestFit="1" customWidth="1"/>
    <col min="25" max="25" width="17.44140625" bestFit="1" customWidth="1"/>
    <col min="26" max="26" width="12.5546875" bestFit="1" customWidth="1"/>
    <col min="27" max="27" width="7.44140625" bestFit="1" customWidth="1"/>
    <col min="28" max="28" width="10.109375" bestFit="1" customWidth="1"/>
    <col min="29" max="29" width="4.6640625" bestFit="1" customWidth="1"/>
    <col min="30" max="30" width="16.44140625" bestFit="1" customWidth="1"/>
    <col min="31" max="31" width="13.77734375" bestFit="1" customWidth="1"/>
    <col min="32" max="32" width="8.44140625" bestFit="1" customWidth="1"/>
    <col min="33" max="35" width="9.77734375" bestFit="1" customWidth="1"/>
    <col min="36" max="36" width="10.5546875" bestFit="1" customWidth="1"/>
    <col min="37" max="37" width="3.33203125" bestFit="1" customWidth="1"/>
    <col min="38" max="38" width="7.21875" bestFit="1" customWidth="1"/>
    <col min="39" max="39" width="16.109375" bestFit="1" customWidth="1"/>
    <col min="40" max="40" width="5.6640625" bestFit="1" customWidth="1"/>
    <col min="41" max="41" width="4.77734375" bestFit="1" customWidth="1"/>
    <col min="42" max="43" width="6.109375" bestFit="1" customWidth="1"/>
    <col min="44" max="44" width="5.21875" bestFit="1" customWidth="1"/>
    <col min="45" max="45" width="9.44140625" bestFit="1" customWidth="1"/>
    <col min="46" max="46" width="11.21875" bestFit="1" customWidth="1"/>
    <col min="47" max="47" width="12.44140625" bestFit="1" customWidth="1"/>
    <col min="48" max="48" width="11.77734375" bestFit="1" customWidth="1"/>
    <col min="49" max="49" width="9.44140625" bestFit="1" customWidth="1"/>
    <col min="50" max="50" width="10.77734375" bestFit="1" customWidth="1"/>
    <col min="51" max="51" width="8.5546875" bestFit="1" customWidth="1"/>
    <col min="52" max="52" width="4.88671875" bestFit="1" customWidth="1"/>
    <col min="53" max="53" width="17.44140625" bestFit="1" customWidth="1"/>
    <col min="54" max="54" width="12.5546875" bestFit="1" customWidth="1"/>
    <col min="55" max="55" width="7.44140625" bestFit="1" customWidth="1"/>
    <col min="56" max="56" width="10.109375" bestFit="1" customWidth="1"/>
    <col min="57" max="57" width="4.6640625" bestFit="1" customWidth="1"/>
    <col min="58" max="58" width="16.44140625" bestFit="1" customWidth="1"/>
    <col min="59" max="59" width="13.77734375" bestFit="1" customWidth="1"/>
    <col min="60" max="60" width="8.44140625" bestFit="1" customWidth="1"/>
    <col min="61" max="63" width="9.77734375" bestFit="1" customWidth="1"/>
    <col min="64" max="64" width="10.5546875" bestFit="1" customWidth="1"/>
    <col min="65" max="65" width="3.33203125" bestFit="1" customWidth="1"/>
    <col min="66" max="66" width="7.21875" bestFit="1" customWidth="1"/>
    <col min="67" max="67" width="14.88671875" bestFit="1" customWidth="1"/>
    <col min="68" max="68" width="20.6640625" bestFit="1" customWidth="1"/>
  </cols>
  <sheetData>
    <row r="1" spans="1:13" x14ac:dyDescent="0.3">
      <c r="A1" t="s">
        <v>93</v>
      </c>
      <c r="B1" t="s">
        <v>96</v>
      </c>
      <c r="C1" t="s">
        <v>97</v>
      </c>
      <c r="D1" t="s">
        <v>189</v>
      </c>
      <c r="E1" t="s">
        <v>190</v>
      </c>
      <c r="F1" t="s">
        <v>193</v>
      </c>
      <c r="J1" s="34" t="s">
        <v>96</v>
      </c>
      <c r="K1" t="s">
        <v>188</v>
      </c>
    </row>
    <row r="2" spans="1:13" x14ac:dyDescent="0.3">
      <c r="A2" t="s">
        <v>2</v>
      </c>
      <c r="B2" t="s">
        <v>98</v>
      </c>
      <c r="C2" t="s">
        <v>66</v>
      </c>
      <c r="D2">
        <f>VLOOKUP(A2,Data!$A$3:$AF$30,26,FALSE)</f>
        <v>95</v>
      </c>
      <c r="E2">
        <f>VLOOKUP(A2,Data!$A$3:$AF$30,27,FALSE)</f>
        <v>26</v>
      </c>
    </row>
    <row r="3" spans="1:13" x14ac:dyDescent="0.3">
      <c r="A3" t="s">
        <v>2</v>
      </c>
      <c r="B3" t="s">
        <v>99</v>
      </c>
      <c r="C3" t="s">
        <v>100</v>
      </c>
      <c r="D3">
        <f>VLOOKUP(A3,Data!$A$3:$AF$30,26,FALSE)</f>
        <v>95</v>
      </c>
      <c r="E3">
        <f>VLOOKUP(A3,Data!$A$3:$AF$30,27,FALSE)</f>
        <v>26</v>
      </c>
      <c r="J3" s="34" t="s">
        <v>94</v>
      </c>
      <c r="K3" t="s">
        <v>191</v>
      </c>
      <c r="L3" t="s">
        <v>192</v>
      </c>
      <c r="M3" t="s">
        <v>187</v>
      </c>
    </row>
    <row r="4" spans="1:13" x14ac:dyDescent="0.3">
      <c r="A4" t="s">
        <v>2</v>
      </c>
      <c r="B4" t="s">
        <v>101</v>
      </c>
      <c r="C4" t="s">
        <v>102</v>
      </c>
      <c r="D4">
        <f>VLOOKUP(A4,Data!$A$3:$AF$30,26,FALSE)</f>
        <v>95</v>
      </c>
      <c r="E4">
        <f>VLOOKUP(A4,Data!$A$3:$AF$30,27,FALSE)</f>
        <v>26</v>
      </c>
      <c r="J4" s="35" t="s">
        <v>161</v>
      </c>
      <c r="K4">
        <v>2</v>
      </c>
      <c r="L4">
        <v>0</v>
      </c>
      <c r="M4">
        <v>1</v>
      </c>
    </row>
    <row r="5" spans="1:13" x14ac:dyDescent="0.3">
      <c r="A5" t="s">
        <v>2</v>
      </c>
      <c r="B5" t="s">
        <v>101</v>
      </c>
      <c r="C5" t="s">
        <v>103</v>
      </c>
      <c r="D5">
        <f>VLOOKUP(A5,Data!$A$3:$AF$30,26,FALSE)</f>
        <v>95</v>
      </c>
      <c r="E5">
        <f>VLOOKUP(A5,Data!$A$3:$AF$30,27,FALSE)</f>
        <v>26</v>
      </c>
      <c r="J5" s="35" t="s">
        <v>74</v>
      </c>
      <c r="K5">
        <v>2</v>
      </c>
      <c r="L5">
        <v>9</v>
      </c>
      <c r="M5">
        <v>4</v>
      </c>
    </row>
    <row r="6" spans="1:13" x14ac:dyDescent="0.3">
      <c r="A6" t="s">
        <v>2</v>
      </c>
      <c r="B6" t="s">
        <v>104</v>
      </c>
      <c r="C6" t="s">
        <v>105</v>
      </c>
      <c r="D6">
        <f>VLOOKUP(A6,Data!$A$3:$AF$30,26,FALSE)</f>
        <v>95</v>
      </c>
      <c r="E6">
        <f>VLOOKUP(A6,Data!$A$3:$AF$30,27,FALSE)</f>
        <v>26</v>
      </c>
      <c r="J6" s="35" t="s">
        <v>88</v>
      </c>
      <c r="K6">
        <v>0</v>
      </c>
      <c r="L6">
        <v>0</v>
      </c>
      <c r="M6">
        <v>2</v>
      </c>
    </row>
    <row r="7" spans="1:13" x14ac:dyDescent="0.3">
      <c r="A7" t="s">
        <v>2</v>
      </c>
      <c r="B7" t="s">
        <v>104</v>
      </c>
      <c r="C7" t="s">
        <v>106</v>
      </c>
      <c r="D7">
        <f>VLOOKUP(A7,Data!$A$3:$AF$30,26,FALSE)</f>
        <v>95</v>
      </c>
      <c r="E7">
        <f>VLOOKUP(A7,Data!$A$3:$AF$30,27,FALSE)</f>
        <v>26</v>
      </c>
      <c r="J7" s="35" t="s">
        <v>116</v>
      </c>
      <c r="K7">
        <v>0</v>
      </c>
      <c r="L7">
        <v>1</v>
      </c>
      <c r="M7">
        <v>1</v>
      </c>
    </row>
    <row r="8" spans="1:13" x14ac:dyDescent="0.3">
      <c r="A8" t="s">
        <v>2</v>
      </c>
      <c r="B8" t="s">
        <v>104</v>
      </c>
      <c r="C8" t="s">
        <v>74</v>
      </c>
      <c r="D8">
        <f>VLOOKUP(A8,Data!$A$3:$AF$30,26,FALSE)</f>
        <v>95</v>
      </c>
      <c r="E8">
        <f>VLOOKUP(A8,Data!$A$3:$AF$30,27,FALSE)</f>
        <v>26</v>
      </c>
      <c r="J8" s="35" t="s">
        <v>129</v>
      </c>
      <c r="K8">
        <v>2</v>
      </c>
      <c r="L8">
        <v>3</v>
      </c>
      <c r="M8">
        <v>1</v>
      </c>
    </row>
    <row r="9" spans="1:13" x14ac:dyDescent="0.3">
      <c r="A9" t="s">
        <v>2</v>
      </c>
      <c r="B9" t="s">
        <v>104</v>
      </c>
      <c r="C9" t="s">
        <v>107</v>
      </c>
      <c r="D9">
        <f>VLOOKUP(A9,Data!$A$3:$AF$30,26,FALSE)</f>
        <v>95</v>
      </c>
      <c r="E9">
        <f>VLOOKUP(A9,Data!$A$3:$AF$30,27,FALSE)</f>
        <v>26</v>
      </c>
      <c r="J9" s="35" t="s">
        <v>71</v>
      </c>
      <c r="K9">
        <v>3</v>
      </c>
      <c r="L9">
        <v>7</v>
      </c>
      <c r="M9">
        <v>3</v>
      </c>
    </row>
    <row r="10" spans="1:13" x14ac:dyDescent="0.3">
      <c r="A10" t="s">
        <v>2</v>
      </c>
      <c r="B10" t="s">
        <v>108</v>
      </c>
      <c r="C10" t="s">
        <v>109</v>
      </c>
      <c r="D10">
        <f>VLOOKUP(A10,Data!$A$3:$AF$30,26,FALSE)</f>
        <v>95</v>
      </c>
      <c r="E10">
        <f>VLOOKUP(A10,Data!$A$3:$AF$30,27,FALSE)</f>
        <v>26</v>
      </c>
      <c r="J10" s="35" t="s">
        <v>138</v>
      </c>
      <c r="K10">
        <v>0</v>
      </c>
      <c r="L10">
        <v>0</v>
      </c>
      <c r="M10">
        <v>1</v>
      </c>
    </row>
    <row r="11" spans="1:13" x14ac:dyDescent="0.3">
      <c r="A11" t="s">
        <v>2</v>
      </c>
      <c r="B11" t="s">
        <v>108</v>
      </c>
      <c r="C11" t="s">
        <v>66</v>
      </c>
      <c r="D11">
        <f>VLOOKUP(A11,Data!$A$3:$AF$30,26,FALSE)</f>
        <v>95</v>
      </c>
      <c r="E11">
        <f>VLOOKUP(A11,Data!$A$3:$AF$30,27,FALSE)</f>
        <v>26</v>
      </c>
      <c r="J11" s="35" t="s">
        <v>82</v>
      </c>
      <c r="K11">
        <v>0</v>
      </c>
      <c r="L11">
        <v>0</v>
      </c>
      <c r="M11">
        <v>1</v>
      </c>
    </row>
    <row r="12" spans="1:13" x14ac:dyDescent="0.3">
      <c r="A12" t="s">
        <v>2</v>
      </c>
      <c r="B12" t="s">
        <v>108</v>
      </c>
      <c r="C12" t="s">
        <v>110</v>
      </c>
      <c r="D12">
        <f>VLOOKUP(A12,Data!$A$3:$AF$30,26,FALSE)</f>
        <v>95</v>
      </c>
      <c r="E12">
        <f>VLOOKUP(A12,Data!$A$3:$AF$30,27,FALSE)</f>
        <v>26</v>
      </c>
      <c r="J12" s="35" t="s">
        <v>78</v>
      </c>
      <c r="K12">
        <v>0</v>
      </c>
      <c r="L12">
        <v>1</v>
      </c>
      <c r="M12">
        <v>2</v>
      </c>
    </row>
    <row r="13" spans="1:13" x14ac:dyDescent="0.3">
      <c r="A13" t="s">
        <v>2</v>
      </c>
      <c r="B13" t="s">
        <v>108</v>
      </c>
      <c r="C13" t="s">
        <v>74</v>
      </c>
      <c r="D13">
        <f>VLOOKUP(A13,Data!$A$3:$AF$30,26,FALSE)</f>
        <v>95</v>
      </c>
      <c r="E13">
        <f>VLOOKUP(A13,Data!$A$3:$AF$30,27,FALSE)</f>
        <v>26</v>
      </c>
      <c r="J13" s="35" t="s">
        <v>122</v>
      </c>
      <c r="K13">
        <v>1</v>
      </c>
      <c r="L13">
        <v>3</v>
      </c>
      <c r="M13">
        <v>1</v>
      </c>
    </row>
    <row r="14" spans="1:13" x14ac:dyDescent="0.3">
      <c r="A14" t="s">
        <v>3</v>
      </c>
      <c r="B14" t="s">
        <v>111</v>
      </c>
      <c r="C14" t="s">
        <v>74</v>
      </c>
      <c r="D14">
        <f>VLOOKUP(A14,Data!$A$3:$AF$30,26,FALSE)</f>
        <v>78</v>
      </c>
      <c r="E14">
        <f>VLOOKUP(A14,Data!$A$3:$AF$30,27,FALSE)</f>
        <v>23</v>
      </c>
      <c r="J14" s="35" t="s">
        <v>87</v>
      </c>
      <c r="K14">
        <v>0</v>
      </c>
      <c r="L14">
        <v>1</v>
      </c>
      <c r="M14">
        <v>1</v>
      </c>
    </row>
    <row r="15" spans="1:13" x14ac:dyDescent="0.3">
      <c r="A15" t="s">
        <v>3</v>
      </c>
      <c r="B15" t="s">
        <v>98</v>
      </c>
      <c r="C15" t="s">
        <v>66</v>
      </c>
      <c r="D15">
        <f>VLOOKUP(A15,Data!$A$3:$AF$30,26,FALSE)</f>
        <v>78</v>
      </c>
      <c r="E15">
        <f>VLOOKUP(A15,Data!$A$3:$AF$30,27,FALSE)</f>
        <v>23</v>
      </c>
      <c r="J15" s="35" t="s">
        <v>137</v>
      </c>
      <c r="K15">
        <v>1</v>
      </c>
      <c r="L15">
        <v>4</v>
      </c>
      <c r="M15">
        <v>1</v>
      </c>
    </row>
    <row r="16" spans="1:13" x14ac:dyDescent="0.3">
      <c r="A16" t="s">
        <v>3</v>
      </c>
      <c r="B16" t="s">
        <v>99</v>
      </c>
      <c r="C16" t="s">
        <v>100</v>
      </c>
      <c r="D16">
        <f>VLOOKUP(A16,Data!$A$3:$AF$30,26,FALSE)</f>
        <v>78</v>
      </c>
      <c r="E16">
        <f>VLOOKUP(A16,Data!$A$3:$AF$30,27,FALSE)</f>
        <v>23</v>
      </c>
      <c r="J16" s="35" t="s">
        <v>86</v>
      </c>
      <c r="K16">
        <v>0</v>
      </c>
      <c r="L16">
        <v>0</v>
      </c>
      <c r="M16">
        <v>1</v>
      </c>
    </row>
    <row r="17" spans="1:13" x14ac:dyDescent="0.3">
      <c r="A17" t="s">
        <v>3</v>
      </c>
      <c r="B17" t="s">
        <v>101</v>
      </c>
      <c r="C17" t="s">
        <v>112</v>
      </c>
      <c r="D17">
        <f>VLOOKUP(A17,Data!$A$3:$AF$30,26,FALSE)</f>
        <v>78</v>
      </c>
      <c r="E17">
        <f>VLOOKUP(A17,Data!$A$3:$AF$30,27,FALSE)</f>
        <v>23</v>
      </c>
      <c r="J17" s="35" t="s">
        <v>110</v>
      </c>
      <c r="K17">
        <v>0</v>
      </c>
      <c r="L17">
        <v>2</v>
      </c>
      <c r="M17">
        <v>1</v>
      </c>
    </row>
    <row r="18" spans="1:13" x14ac:dyDescent="0.3">
      <c r="A18" t="s">
        <v>3</v>
      </c>
      <c r="B18" t="s">
        <v>101</v>
      </c>
      <c r="C18" t="s">
        <v>113</v>
      </c>
      <c r="D18">
        <f>VLOOKUP(A18,Data!$A$3:$AF$30,26,FALSE)</f>
        <v>78</v>
      </c>
      <c r="E18">
        <f>VLOOKUP(A18,Data!$A$3:$AF$30,27,FALSE)</f>
        <v>23</v>
      </c>
      <c r="J18" s="35" t="s">
        <v>66</v>
      </c>
      <c r="K18">
        <v>1</v>
      </c>
      <c r="L18">
        <v>7</v>
      </c>
      <c r="M18">
        <v>5</v>
      </c>
    </row>
    <row r="19" spans="1:13" x14ac:dyDescent="0.3">
      <c r="A19" t="s">
        <v>3</v>
      </c>
      <c r="B19" t="s">
        <v>104</v>
      </c>
      <c r="C19" t="s">
        <v>114</v>
      </c>
      <c r="D19">
        <f>VLOOKUP(A19,Data!$A$3:$AF$30,26,FALSE)</f>
        <v>78</v>
      </c>
      <c r="E19">
        <f>VLOOKUP(A19,Data!$A$3:$AF$30,27,FALSE)</f>
        <v>23</v>
      </c>
      <c r="J19" s="35" t="s">
        <v>84</v>
      </c>
      <c r="K19">
        <v>1</v>
      </c>
      <c r="L19">
        <v>1</v>
      </c>
      <c r="M19">
        <v>1</v>
      </c>
    </row>
    <row r="20" spans="1:13" x14ac:dyDescent="0.3">
      <c r="A20" t="s">
        <v>3</v>
      </c>
      <c r="B20" t="s">
        <v>104</v>
      </c>
      <c r="C20" t="s">
        <v>115</v>
      </c>
      <c r="D20">
        <f>VLOOKUP(A20,Data!$A$3:$AF$30,26,FALSE)</f>
        <v>78</v>
      </c>
      <c r="E20">
        <f>VLOOKUP(A20,Data!$A$3:$AF$30,27,FALSE)</f>
        <v>23</v>
      </c>
      <c r="J20" s="35" t="s">
        <v>89</v>
      </c>
      <c r="K20">
        <v>0</v>
      </c>
      <c r="L20">
        <v>1</v>
      </c>
      <c r="M20">
        <v>1</v>
      </c>
    </row>
    <row r="21" spans="1:13" x14ac:dyDescent="0.3">
      <c r="A21" t="s">
        <v>3</v>
      </c>
      <c r="B21" t="s">
        <v>104</v>
      </c>
      <c r="C21" t="s">
        <v>74</v>
      </c>
      <c r="D21">
        <f>VLOOKUP(A21,Data!$A$3:$AF$30,26,FALSE)</f>
        <v>78</v>
      </c>
      <c r="E21">
        <f>VLOOKUP(A21,Data!$A$3:$AF$30,27,FALSE)</f>
        <v>23</v>
      </c>
      <c r="J21" s="35" t="s">
        <v>173</v>
      </c>
      <c r="K21">
        <v>2</v>
      </c>
      <c r="L21">
        <v>2</v>
      </c>
      <c r="M21">
        <v>1</v>
      </c>
    </row>
    <row r="22" spans="1:13" x14ac:dyDescent="0.3">
      <c r="A22" t="s">
        <v>3</v>
      </c>
      <c r="B22" t="s">
        <v>108</v>
      </c>
      <c r="C22" t="s">
        <v>66</v>
      </c>
      <c r="D22">
        <f>VLOOKUP(A22,Data!$A$3:$AF$30,26,FALSE)</f>
        <v>78</v>
      </c>
      <c r="E22">
        <f>VLOOKUP(A22,Data!$A$3:$AF$30,27,FALSE)</f>
        <v>23</v>
      </c>
      <c r="J22" s="35" t="s">
        <v>76</v>
      </c>
      <c r="K22">
        <v>6</v>
      </c>
      <c r="L22">
        <v>10</v>
      </c>
      <c r="M22">
        <v>5</v>
      </c>
    </row>
    <row r="23" spans="1:13" x14ac:dyDescent="0.3">
      <c r="A23" t="s">
        <v>3</v>
      </c>
      <c r="B23" t="s">
        <v>108</v>
      </c>
      <c r="C23" t="s">
        <v>110</v>
      </c>
      <c r="D23">
        <f>VLOOKUP(A23,Data!$A$3:$AF$30,26,FALSE)</f>
        <v>78</v>
      </c>
      <c r="E23">
        <f>VLOOKUP(A23,Data!$A$3:$AF$30,27,FALSE)</f>
        <v>23</v>
      </c>
      <c r="J23" s="35" t="s">
        <v>147</v>
      </c>
      <c r="K23">
        <v>3</v>
      </c>
      <c r="L23">
        <v>0</v>
      </c>
      <c r="M23">
        <v>3</v>
      </c>
    </row>
    <row r="24" spans="1:13" x14ac:dyDescent="0.3">
      <c r="A24" t="s">
        <v>3</v>
      </c>
      <c r="B24" t="s">
        <v>108</v>
      </c>
      <c r="C24" t="s">
        <v>74</v>
      </c>
      <c r="D24">
        <f>VLOOKUP(A24,Data!$A$3:$AF$30,26,FALSE)</f>
        <v>78</v>
      </c>
      <c r="E24">
        <f>VLOOKUP(A24,Data!$A$3:$AF$30,27,FALSE)</f>
        <v>23</v>
      </c>
      <c r="J24" s="35" t="s">
        <v>109</v>
      </c>
      <c r="K24">
        <v>6</v>
      </c>
      <c r="L24">
        <v>9</v>
      </c>
      <c r="M24">
        <v>4</v>
      </c>
    </row>
    <row r="25" spans="1:13" x14ac:dyDescent="0.3">
      <c r="A25" t="s">
        <v>4</v>
      </c>
      <c r="B25" t="s">
        <v>111</v>
      </c>
      <c r="C25" t="s">
        <v>116</v>
      </c>
      <c r="D25">
        <f>VLOOKUP(A25,Data!$A$3:$AF$30,26,FALSE)</f>
        <v>88</v>
      </c>
      <c r="E25">
        <f>VLOOKUP(A25,Data!$A$3:$AF$30,27,FALSE)</f>
        <v>34</v>
      </c>
      <c r="J25" s="35" t="s">
        <v>80</v>
      </c>
      <c r="K25">
        <v>0</v>
      </c>
      <c r="L25">
        <v>1</v>
      </c>
      <c r="M25">
        <v>2</v>
      </c>
    </row>
    <row r="26" spans="1:13" x14ac:dyDescent="0.3">
      <c r="A26" t="s">
        <v>4</v>
      </c>
      <c r="B26" t="s">
        <v>111</v>
      </c>
      <c r="C26" t="s">
        <v>76</v>
      </c>
      <c r="D26">
        <f>VLOOKUP(A26,Data!$A$3:$AF$30,26,FALSE)</f>
        <v>88</v>
      </c>
      <c r="E26">
        <f>VLOOKUP(A26,Data!$A$3:$AF$30,27,FALSE)</f>
        <v>34</v>
      </c>
      <c r="J26" s="35" t="s">
        <v>150</v>
      </c>
      <c r="K26">
        <v>1</v>
      </c>
      <c r="L26">
        <v>1</v>
      </c>
      <c r="M26">
        <v>1</v>
      </c>
    </row>
    <row r="27" spans="1:13" x14ac:dyDescent="0.3">
      <c r="A27" t="s">
        <v>4</v>
      </c>
      <c r="B27" t="s">
        <v>98</v>
      </c>
      <c r="C27" t="s">
        <v>66</v>
      </c>
      <c r="D27">
        <f>VLOOKUP(A27,Data!$A$3:$AF$30,26,FALSE)</f>
        <v>88</v>
      </c>
      <c r="E27">
        <f>VLOOKUP(A27,Data!$A$3:$AF$30,27,FALSE)</f>
        <v>34</v>
      </c>
      <c r="J27" s="35" t="s">
        <v>95</v>
      </c>
      <c r="K27">
        <v>31</v>
      </c>
      <c r="L27">
        <v>63</v>
      </c>
      <c r="M27">
        <v>44</v>
      </c>
    </row>
    <row r="28" spans="1:13" x14ac:dyDescent="0.3">
      <c r="A28" t="s">
        <v>4</v>
      </c>
      <c r="B28" t="s">
        <v>99</v>
      </c>
      <c r="C28" t="s">
        <v>100</v>
      </c>
      <c r="D28">
        <f>VLOOKUP(A28,Data!$A$3:$AF$30,26,FALSE)</f>
        <v>88</v>
      </c>
      <c r="E28">
        <f>VLOOKUP(A28,Data!$A$3:$AF$30,27,FALSE)</f>
        <v>34</v>
      </c>
    </row>
    <row r="29" spans="1:13" x14ac:dyDescent="0.3">
      <c r="A29" t="s">
        <v>4</v>
      </c>
      <c r="B29" t="s">
        <v>101</v>
      </c>
      <c r="C29" t="s">
        <v>117</v>
      </c>
      <c r="D29">
        <f>VLOOKUP(A29,Data!$A$3:$AF$30,26,FALSE)</f>
        <v>88</v>
      </c>
      <c r="E29">
        <f>VLOOKUP(A29,Data!$A$3:$AF$30,27,FALSE)</f>
        <v>34</v>
      </c>
    </row>
    <row r="30" spans="1:13" x14ac:dyDescent="0.3">
      <c r="A30" t="s">
        <v>4</v>
      </c>
      <c r="B30" t="s">
        <v>101</v>
      </c>
      <c r="C30" t="s">
        <v>118</v>
      </c>
      <c r="D30">
        <f>VLOOKUP(A30,Data!$A$3:$AF$30,26,FALSE)</f>
        <v>88</v>
      </c>
      <c r="E30">
        <f>VLOOKUP(A30,Data!$A$3:$AF$30,27,FALSE)</f>
        <v>34</v>
      </c>
    </row>
    <row r="31" spans="1:13" x14ac:dyDescent="0.3">
      <c r="A31" t="s">
        <v>4</v>
      </c>
      <c r="B31" t="s">
        <v>104</v>
      </c>
      <c r="C31" t="s">
        <v>119</v>
      </c>
      <c r="D31">
        <f>VLOOKUP(A31,Data!$A$3:$AF$30,26,FALSE)</f>
        <v>88</v>
      </c>
      <c r="E31">
        <f>VLOOKUP(A31,Data!$A$3:$AF$30,27,FALSE)</f>
        <v>34</v>
      </c>
    </row>
    <row r="32" spans="1:13" x14ac:dyDescent="0.3">
      <c r="A32" t="s">
        <v>4</v>
      </c>
      <c r="B32" t="s">
        <v>104</v>
      </c>
      <c r="C32" t="s">
        <v>120</v>
      </c>
      <c r="D32">
        <f>VLOOKUP(A32,Data!$A$3:$AF$30,26,FALSE)</f>
        <v>88</v>
      </c>
      <c r="E32">
        <f>VLOOKUP(A32,Data!$A$3:$AF$30,27,FALSE)</f>
        <v>34</v>
      </c>
    </row>
    <row r="33" spans="1:5" x14ac:dyDescent="0.3">
      <c r="A33" t="s">
        <v>4</v>
      </c>
      <c r="B33" t="s">
        <v>104</v>
      </c>
      <c r="C33" t="s">
        <v>74</v>
      </c>
      <c r="D33">
        <f>VLOOKUP(A33,Data!$A$3:$AF$30,26,FALSE)</f>
        <v>88</v>
      </c>
      <c r="E33">
        <f>VLOOKUP(A33,Data!$A$3:$AF$30,27,FALSE)</f>
        <v>34</v>
      </c>
    </row>
    <row r="34" spans="1:5" x14ac:dyDescent="0.3">
      <c r="A34" t="s">
        <v>4</v>
      </c>
      <c r="B34" t="s">
        <v>104</v>
      </c>
      <c r="C34" t="s">
        <v>121</v>
      </c>
      <c r="D34">
        <f>VLOOKUP(A34,Data!$A$3:$AF$30,26,FALSE)</f>
        <v>88</v>
      </c>
      <c r="E34">
        <f>VLOOKUP(A34,Data!$A$3:$AF$30,27,FALSE)</f>
        <v>34</v>
      </c>
    </row>
    <row r="35" spans="1:5" x14ac:dyDescent="0.3">
      <c r="A35" t="s">
        <v>4</v>
      </c>
      <c r="B35" t="s">
        <v>108</v>
      </c>
      <c r="C35" t="s">
        <v>116</v>
      </c>
      <c r="D35">
        <f>VLOOKUP(A35,Data!$A$3:$AF$30,26,FALSE)</f>
        <v>88</v>
      </c>
      <c r="E35">
        <f>VLOOKUP(A35,Data!$A$3:$AF$30,27,FALSE)</f>
        <v>34</v>
      </c>
    </row>
    <row r="36" spans="1:5" x14ac:dyDescent="0.3">
      <c r="A36" t="s">
        <v>4</v>
      </c>
      <c r="B36" t="s">
        <v>108</v>
      </c>
      <c r="C36" t="s">
        <v>109</v>
      </c>
      <c r="D36">
        <f>VLOOKUP(A36,Data!$A$3:$AF$30,26,FALSE)</f>
        <v>88</v>
      </c>
      <c r="E36">
        <f>VLOOKUP(A36,Data!$A$3:$AF$30,27,FALSE)</f>
        <v>34</v>
      </c>
    </row>
    <row r="37" spans="1:5" x14ac:dyDescent="0.3">
      <c r="A37" t="s">
        <v>4</v>
      </c>
      <c r="B37" t="s">
        <v>108</v>
      </c>
      <c r="C37" t="s">
        <v>66</v>
      </c>
      <c r="D37">
        <f>VLOOKUP(A37,Data!$A$3:$AF$30,26,FALSE)</f>
        <v>88</v>
      </c>
      <c r="E37">
        <f>VLOOKUP(A37,Data!$A$3:$AF$30,27,FALSE)</f>
        <v>34</v>
      </c>
    </row>
    <row r="38" spans="1:5" x14ac:dyDescent="0.3">
      <c r="A38" t="s">
        <v>4</v>
      </c>
      <c r="B38" t="s">
        <v>108</v>
      </c>
      <c r="C38" t="s">
        <v>74</v>
      </c>
      <c r="D38">
        <f>VLOOKUP(A38,Data!$A$3:$AF$30,26,FALSE)</f>
        <v>88</v>
      </c>
      <c r="E38">
        <f>VLOOKUP(A38,Data!$A$3:$AF$30,27,FALSE)</f>
        <v>34</v>
      </c>
    </row>
    <row r="39" spans="1:5" x14ac:dyDescent="0.3">
      <c r="A39" t="s">
        <v>5</v>
      </c>
      <c r="B39" t="s">
        <v>111</v>
      </c>
      <c r="C39" t="s">
        <v>122</v>
      </c>
      <c r="D39">
        <f>VLOOKUP(A39,Data!$A$3:$AF$30,26,FALSE)</f>
        <v>79</v>
      </c>
      <c r="E39">
        <f>VLOOKUP(A39,Data!$A$3:$AF$30,27,FALSE)</f>
        <v>35</v>
      </c>
    </row>
    <row r="40" spans="1:5" x14ac:dyDescent="0.3">
      <c r="A40" t="s">
        <v>5</v>
      </c>
      <c r="B40" t="s">
        <v>111</v>
      </c>
      <c r="C40" t="s">
        <v>76</v>
      </c>
      <c r="D40">
        <f>VLOOKUP(A40,Data!$A$3:$AF$30,26,FALSE)</f>
        <v>79</v>
      </c>
      <c r="E40">
        <f>VLOOKUP(A40,Data!$A$3:$AF$30,27,FALSE)</f>
        <v>35</v>
      </c>
    </row>
    <row r="41" spans="1:5" x14ac:dyDescent="0.3">
      <c r="A41" t="s">
        <v>5</v>
      </c>
      <c r="B41" t="s">
        <v>98</v>
      </c>
      <c r="C41" t="s">
        <v>109</v>
      </c>
      <c r="D41">
        <f>VLOOKUP(A41,Data!$A$3:$AF$30,26,FALSE)</f>
        <v>79</v>
      </c>
      <c r="E41">
        <f>VLOOKUP(A41,Data!$A$3:$AF$30,27,FALSE)</f>
        <v>35</v>
      </c>
    </row>
    <row r="42" spans="1:5" x14ac:dyDescent="0.3">
      <c r="A42" t="s">
        <v>5</v>
      </c>
      <c r="B42" t="s">
        <v>99</v>
      </c>
      <c r="C42" t="s">
        <v>100</v>
      </c>
      <c r="D42">
        <f>VLOOKUP(A42,Data!$A$3:$AF$30,26,FALSE)</f>
        <v>79</v>
      </c>
      <c r="E42">
        <f>VLOOKUP(A42,Data!$A$3:$AF$30,27,FALSE)</f>
        <v>35</v>
      </c>
    </row>
    <row r="43" spans="1:5" x14ac:dyDescent="0.3">
      <c r="A43" t="s">
        <v>5</v>
      </c>
      <c r="B43" t="s">
        <v>101</v>
      </c>
      <c r="C43" t="s">
        <v>112</v>
      </c>
      <c r="D43">
        <f>VLOOKUP(A43,Data!$A$3:$AF$30,26,FALSE)</f>
        <v>79</v>
      </c>
      <c r="E43">
        <f>VLOOKUP(A43,Data!$A$3:$AF$30,27,FALSE)</f>
        <v>35</v>
      </c>
    </row>
    <row r="44" spans="1:5" x14ac:dyDescent="0.3">
      <c r="A44" t="s">
        <v>5</v>
      </c>
      <c r="B44" t="s">
        <v>104</v>
      </c>
      <c r="C44" t="s">
        <v>123</v>
      </c>
      <c r="D44">
        <f>VLOOKUP(A44,Data!$A$3:$AF$30,26,FALSE)</f>
        <v>79</v>
      </c>
      <c r="E44">
        <f>VLOOKUP(A44,Data!$A$3:$AF$30,27,FALSE)</f>
        <v>35</v>
      </c>
    </row>
    <row r="45" spans="1:5" x14ac:dyDescent="0.3">
      <c r="A45" t="s">
        <v>5</v>
      </c>
      <c r="B45" t="s">
        <v>104</v>
      </c>
      <c r="C45" t="s">
        <v>74</v>
      </c>
      <c r="D45">
        <f>VLOOKUP(A45,Data!$A$3:$AF$30,26,FALSE)</f>
        <v>79</v>
      </c>
      <c r="E45">
        <f>VLOOKUP(A45,Data!$A$3:$AF$30,27,FALSE)</f>
        <v>35</v>
      </c>
    </row>
    <row r="46" spans="1:5" x14ac:dyDescent="0.3">
      <c r="A46" t="s">
        <v>5</v>
      </c>
      <c r="B46" t="s">
        <v>108</v>
      </c>
      <c r="C46" t="s">
        <v>124</v>
      </c>
      <c r="D46">
        <f>VLOOKUP(A46,Data!$A$3:$AF$30,26,FALSE)</f>
        <v>79</v>
      </c>
      <c r="E46">
        <f>VLOOKUP(A46,Data!$A$3:$AF$30,27,FALSE)</f>
        <v>35</v>
      </c>
    </row>
    <row r="47" spans="1:5" x14ac:dyDescent="0.3">
      <c r="A47" t="s">
        <v>5</v>
      </c>
      <c r="B47" t="s">
        <v>108</v>
      </c>
      <c r="C47" t="s">
        <v>109</v>
      </c>
      <c r="D47">
        <f>VLOOKUP(A47,Data!$A$3:$AF$30,26,FALSE)</f>
        <v>79</v>
      </c>
      <c r="E47">
        <f>VLOOKUP(A47,Data!$A$3:$AF$30,27,FALSE)</f>
        <v>35</v>
      </c>
    </row>
    <row r="48" spans="1:5" x14ac:dyDescent="0.3">
      <c r="A48" t="s">
        <v>5</v>
      </c>
      <c r="B48" t="s">
        <v>108</v>
      </c>
      <c r="C48" t="s">
        <v>125</v>
      </c>
      <c r="D48">
        <f>VLOOKUP(A48,Data!$A$3:$AF$30,26,FALSE)</f>
        <v>79</v>
      </c>
      <c r="E48">
        <f>VLOOKUP(A48,Data!$A$3:$AF$30,27,FALSE)</f>
        <v>35</v>
      </c>
    </row>
    <row r="49" spans="1:5" x14ac:dyDescent="0.3">
      <c r="A49" t="s">
        <v>5</v>
      </c>
      <c r="B49" t="s">
        <v>108</v>
      </c>
      <c r="C49" t="s">
        <v>126</v>
      </c>
      <c r="D49">
        <f>VLOOKUP(A49,Data!$A$3:$AF$30,26,FALSE)</f>
        <v>79</v>
      </c>
      <c r="E49">
        <f>VLOOKUP(A49,Data!$A$3:$AF$30,27,FALSE)</f>
        <v>35</v>
      </c>
    </row>
    <row r="50" spans="1:5" x14ac:dyDescent="0.3">
      <c r="A50" t="s">
        <v>6</v>
      </c>
      <c r="B50" t="s">
        <v>111</v>
      </c>
      <c r="C50" t="s">
        <v>76</v>
      </c>
      <c r="D50">
        <f>VLOOKUP(A50,Data!$A$3:$AF$30,26,FALSE)</f>
        <v>90</v>
      </c>
      <c r="E50">
        <f>VLOOKUP(A50,Data!$A$3:$AF$30,27,FALSE)</f>
        <v>38</v>
      </c>
    </row>
    <row r="51" spans="1:5" x14ac:dyDescent="0.3">
      <c r="A51" t="s">
        <v>6</v>
      </c>
      <c r="B51" t="s">
        <v>98</v>
      </c>
      <c r="C51" t="s">
        <v>74</v>
      </c>
      <c r="D51">
        <f>VLOOKUP(A51,Data!$A$3:$AF$30,26,FALSE)</f>
        <v>90</v>
      </c>
      <c r="E51">
        <f>VLOOKUP(A51,Data!$A$3:$AF$30,27,FALSE)</f>
        <v>38</v>
      </c>
    </row>
    <row r="52" spans="1:5" x14ac:dyDescent="0.3">
      <c r="A52" t="s">
        <v>6</v>
      </c>
      <c r="B52" t="s">
        <v>99</v>
      </c>
      <c r="C52" t="s">
        <v>127</v>
      </c>
      <c r="D52">
        <f>VLOOKUP(A52,Data!$A$3:$AF$30,26,FALSE)</f>
        <v>90</v>
      </c>
      <c r="E52">
        <f>VLOOKUP(A52,Data!$A$3:$AF$30,27,FALSE)</f>
        <v>38</v>
      </c>
    </row>
    <row r="53" spans="1:5" x14ac:dyDescent="0.3">
      <c r="A53" t="s">
        <v>6</v>
      </c>
      <c r="B53" t="s">
        <v>101</v>
      </c>
      <c r="C53" t="s">
        <v>128</v>
      </c>
      <c r="D53">
        <f>VLOOKUP(A53,Data!$A$3:$AF$30,26,FALSE)</f>
        <v>90</v>
      </c>
      <c r="E53">
        <f>VLOOKUP(A53,Data!$A$3:$AF$30,27,FALSE)</f>
        <v>38</v>
      </c>
    </row>
    <row r="54" spans="1:5" x14ac:dyDescent="0.3">
      <c r="A54" t="s">
        <v>6</v>
      </c>
      <c r="B54" t="s">
        <v>104</v>
      </c>
      <c r="C54" t="s">
        <v>129</v>
      </c>
      <c r="D54">
        <f>VLOOKUP(A54,Data!$A$3:$AF$30,26,FALSE)</f>
        <v>90</v>
      </c>
      <c r="E54">
        <f>VLOOKUP(A54,Data!$A$3:$AF$30,27,FALSE)</f>
        <v>38</v>
      </c>
    </row>
    <row r="55" spans="1:5" x14ac:dyDescent="0.3">
      <c r="A55" t="s">
        <v>6</v>
      </c>
      <c r="B55" t="s">
        <v>104</v>
      </c>
      <c r="C55" t="s">
        <v>130</v>
      </c>
      <c r="D55">
        <f>VLOOKUP(A55,Data!$A$3:$AF$30,26,FALSE)</f>
        <v>90</v>
      </c>
      <c r="E55">
        <f>VLOOKUP(A55,Data!$A$3:$AF$30,27,FALSE)</f>
        <v>38</v>
      </c>
    </row>
    <row r="56" spans="1:5" x14ac:dyDescent="0.3">
      <c r="A56" t="s">
        <v>6</v>
      </c>
      <c r="B56" t="s">
        <v>104</v>
      </c>
      <c r="C56" t="s">
        <v>74</v>
      </c>
      <c r="D56">
        <f>VLOOKUP(A56,Data!$A$3:$AF$30,26,FALSE)</f>
        <v>90</v>
      </c>
      <c r="E56">
        <f>VLOOKUP(A56,Data!$A$3:$AF$30,27,FALSE)</f>
        <v>38</v>
      </c>
    </row>
    <row r="57" spans="1:5" x14ac:dyDescent="0.3">
      <c r="A57" t="s">
        <v>6</v>
      </c>
      <c r="B57" t="s">
        <v>108</v>
      </c>
      <c r="C57" t="s">
        <v>74</v>
      </c>
      <c r="D57">
        <f>VLOOKUP(A57,Data!$A$3:$AF$30,26,FALSE)</f>
        <v>90</v>
      </c>
      <c r="E57">
        <f>VLOOKUP(A57,Data!$A$3:$AF$30,27,FALSE)</f>
        <v>38</v>
      </c>
    </row>
    <row r="58" spans="1:5" x14ac:dyDescent="0.3">
      <c r="A58" t="s">
        <v>7</v>
      </c>
      <c r="B58" t="s">
        <v>98</v>
      </c>
      <c r="C58" t="s">
        <v>71</v>
      </c>
      <c r="D58">
        <f>VLOOKUP(A58,Data!$A$3:$AF$30,26,FALSE)</f>
        <v>90</v>
      </c>
      <c r="E58">
        <f>VLOOKUP(A58,Data!$A$3:$AF$30,27,FALSE)</f>
        <v>41</v>
      </c>
    </row>
    <row r="59" spans="1:5" x14ac:dyDescent="0.3">
      <c r="A59" t="s">
        <v>7</v>
      </c>
      <c r="B59" t="s">
        <v>99</v>
      </c>
      <c r="C59" t="s">
        <v>131</v>
      </c>
      <c r="D59">
        <f>VLOOKUP(A59,Data!$A$3:$AF$30,26,FALSE)</f>
        <v>90</v>
      </c>
      <c r="E59">
        <f>VLOOKUP(A59,Data!$A$3:$AF$30,27,FALSE)</f>
        <v>41</v>
      </c>
    </row>
    <row r="60" spans="1:5" x14ac:dyDescent="0.3">
      <c r="A60" t="s">
        <v>7</v>
      </c>
      <c r="B60" t="s">
        <v>101</v>
      </c>
      <c r="C60" t="s">
        <v>132</v>
      </c>
      <c r="D60">
        <f>VLOOKUP(A60,Data!$A$3:$AF$30,26,FALSE)</f>
        <v>90</v>
      </c>
      <c r="E60">
        <f>VLOOKUP(A60,Data!$A$3:$AF$30,27,FALSE)</f>
        <v>41</v>
      </c>
    </row>
    <row r="61" spans="1:5" x14ac:dyDescent="0.3">
      <c r="A61" t="s">
        <v>7</v>
      </c>
      <c r="B61" t="s">
        <v>104</v>
      </c>
      <c r="C61" t="s">
        <v>71</v>
      </c>
      <c r="D61">
        <f>VLOOKUP(A61,Data!$A$3:$AF$30,26,FALSE)</f>
        <v>90</v>
      </c>
      <c r="E61">
        <f>VLOOKUP(A61,Data!$A$3:$AF$30,27,FALSE)</f>
        <v>41</v>
      </c>
    </row>
    <row r="62" spans="1:5" x14ac:dyDescent="0.3">
      <c r="A62" t="s">
        <v>7</v>
      </c>
      <c r="B62" t="s">
        <v>108</v>
      </c>
      <c r="C62" t="s">
        <v>71</v>
      </c>
      <c r="D62">
        <f>VLOOKUP(A62,Data!$A$3:$AF$30,26,FALSE)</f>
        <v>90</v>
      </c>
      <c r="E62">
        <f>VLOOKUP(A62,Data!$A$3:$AF$30,27,FALSE)</f>
        <v>41</v>
      </c>
    </row>
    <row r="63" spans="1:5" x14ac:dyDescent="0.3">
      <c r="A63" t="s">
        <v>8</v>
      </c>
      <c r="B63" t="s">
        <v>111</v>
      </c>
      <c r="C63" t="s">
        <v>110</v>
      </c>
      <c r="D63">
        <f>VLOOKUP(A63,Data!$A$3:$AF$30,26,FALSE)</f>
        <v>73</v>
      </c>
      <c r="E63">
        <f>VLOOKUP(A63,Data!$A$3:$AF$30,27,FALSE)</f>
        <v>39</v>
      </c>
    </row>
    <row r="64" spans="1:5" x14ac:dyDescent="0.3">
      <c r="A64" t="s">
        <v>8</v>
      </c>
      <c r="B64" t="s">
        <v>98</v>
      </c>
      <c r="C64" t="s">
        <v>66</v>
      </c>
      <c r="D64">
        <f>VLOOKUP(A64,Data!$A$3:$AF$30,26,FALSE)</f>
        <v>73</v>
      </c>
      <c r="E64">
        <f>VLOOKUP(A64,Data!$A$3:$AF$30,27,FALSE)</f>
        <v>39</v>
      </c>
    </row>
    <row r="65" spans="1:5" x14ac:dyDescent="0.3">
      <c r="A65" t="s">
        <v>8</v>
      </c>
      <c r="B65" t="s">
        <v>99</v>
      </c>
      <c r="C65" t="s">
        <v>100</v>
      </c>
      <c r="D65">
        <f>VLOOKUP(A65,Data!$A$3:$AF$30,26,FALSE)</f>
        <v>73</v>
      </c>
      <c r="E65">
        <f>VLOOKUP(A65,Data!$A$3:$AF$30,27,FALSE)</f>
        <v>39</v>
      </c>
    </row>
    <row r="66" spans="1:5" x14ac:dyDescent="0.3">
      <c r="A66" t="s">
        <v>8</v>
      </c>
      <c r="B66" t="s">
        <v>101</v>
      </c>
      <c r="C66" t="s">
        <v>112</v>
      </c>
      <c r="D66">
        <f>VLOOKUP(A66,Data!$A$3:$AF$30,26,FALSE)</f>
        <v>73</v>
      </c>
      <c r="E66">
        <f>VLOOKUP(A66,Data!$A$3:$AF$30,27,FALSE)</f>
        <v>39</v>
      </c>
    </row>
    <row r="67" spans="1:5" x14ac:dyDescent="0.3">
      <c r="A67" t="s">
        <v>8</v>
      </c>
      <c r="B67" t="s">
        <v>104</v>
      </c>
      <c r="C67" t="s">
        <v>133</v>
      </c>
      <c r="D67">
        <f>VLOOKUP(A67,Data!$A$3:$AF$30,26,FALSE)</f>
        <v>73</v>
      </c>
      <c r="E67">
        <f>VLOOKUP(A67,Data!$A$3:$AF$30,27,FALSE)</f>
        <v>39</v>
      </c>
    </row>
    <row r="68" spans="1:5" x14ac:dyDescent="0.3">
      <c r="A68" t="s">
        <v>8</v>
      </c>
      <c r="B68" t="s">
        <v>104</v>
      </c>
      <c r="C68" t="s">
        <v>134</v>
      </c>
      <c r="D68">
        <f>VLOOKUP(A68,Data!$A$3:$AF$30,26,FALSE)</f>
        <v>73</v>
      </c>
      <c r="E68">
        <f>VLOOKUP(A68,Data!$A$3:$AF$30,27,FALSE)</f>
        <v>39</v>
      </c>
    </row>
    <row r="69" spans="1:5" x14ac:dyDescent="0.3">
      <c r="A69" t="s">
        <v>8</v>
      </c>
      <c r="B69" t="s">
        <v>104</v>
      </c>
      <c r="C69" t="s">
        <v>66</v>
      </c>
      <c r="D69">
        <f>VLOOKUP(A69,Data!$A$3:$AF$30,26,FALSE)</f>
        <v>73</v>
      </c>
      <c r="E69">
        <f>VLOOKUP(A69,Data!$A$3:$AF$30,27,FALSE)</f>
        <v>39</v>
      </c>
    </row>
    <row r="70" spans="1:5" x14ac:dyDescent="0.3">
      <c r="A70" t="s">
        <v>8</v>
      </c>
      <c r="B70" t="s">
        <v>104</v>
      </c>
      <c r="C70" t="s">
        <v>135</v>
      </c>
      <c r="D70">
        <f>VLOOKUP(A70,Data!$A$3:$AF$30,26,FALSE)</f>
        <v>73</v>
      </c>
      <c r="E70">
        <f>VLOOKUP(A70,Data!$A$3:$AF$30,27,FALSE)</f>
        <v>39</v>
      </c>
    </row>
    <row r="71" spans="1:5" x14ac:dyDescent="0.3">
      <c r="A71" t="s">
        <v>8</v>
      </c>
      <c r="B71" t="s">
        <v>104</v>
      </c>
      <c r="C71" t="s">
        <v>136</v>
      </c>
      <c r="D71">
        <f>VLOOKUP(A71,Data!$A$3:$AF$30,26,FALSE)</f>
        <v>73</v>
      </c>
      <c r="E71">
        <f>VLOOKUP(A71,Data!$A$3:$AF$30,27,FALSE)</f>
        <v>39</v>
      </c>
    </row>
    <row r="72" spans="1:5" x14ac:dyDescent="0.3">
      <c r="A72" t="s">
        <v>8</v>
      </c>
      <c r="B72" t="s">
        <v>104</v>
      </c>
      <c r="C72" t="s">
        <v>110</v>
      </c>
      <c r="D72">
        <f>VLOOKUP(A72,Data!$A$3:$AF$30,26,FALSE)</f>
        <v>73</v>
      </c>
      <c r="E72">
        <f>VLOOKUP(A72,Data!$A$3:$AF$30,27,FALSE)</f>
        <v>39</v>
      </c>
    </row>
    <row r="73" spans="1:5" x14ac:dyDescent="0.3">
      <c r="A73" t="s">
        <v>8</v>
      </c>
      <c r="B73" t="s">
        <v>108</v>
      </c>
      <c r="C73" t="s">
        <v>66</v>
      </c>
      <c r="D73">
        <f>VLOOKUP(A73,Data!$A$3:$AF$30,26,FALSE)</f>
        <v>73</v>
      </c>
      <c r="E73">
        <f>VLOOKUP(A73,Data!$A$3:$AF$30,27,FALSE)</f>
        <v>39</v>
      </c>
    </row>
    <row r="74" spans="1:5" x14ac:dyDescent="0.3">
      <c r="A74" t="s">
        <v>8</v>
      </c>
      <c r="B74" t="s">
        <v>108</v>
      </c>
      <c r="C74" t="s">
        <v>134</v>
      </c>
      <c r="D74">
        <f>VLOOKUP(A74,Data!$A$3:$AF$30,26,FALSE)</f>
        <v>73</v>
      </c>
      <c r="E74">
        <f>VLOOKUP(A74,Data!$A$3:$AF$30,27,FALSE)</f>
        <v>39</v>
      </c>
    </row>
    <row r="75" spans="1:5" x14ac:dyDescent="0.3">
      <c r="A75" t="s">
        <v>8</v>
      </c>
      <c r="B75" t="s">
        <v>108</v>
      </c>
      <c r="C75" t="s">
        <v>110</v>
      </c>
      <c r="D75">
        <f>VLOOKUP(A75,Data!$A$3:$AF$30,26,FALSE)</f>
        <v>73</v>
      </c>
      <c r="E75">
        <f>VLOOKUP(A75,Data!$A$3:$AF$30,27,FALSE)</f>
        <v>39</v>
      </c>
    </row>
    <row r="76" spans="1:5" x14ac:dyDescent="0.3">
      <c r="A76" t="s">
        <v>9</v>
      </c>
      <c r="B76" t="s">
        <v>111</v>
      </c>
      <c r="C76" t="s">
        <v>137</v>
      </c>
      <c r="D76">
        <f>VLOOKUP(A76,Data!$A$3:$AF$30,26,FALSE)</f>
        <v>96</v>
      </c>
      <c r="E76">
        <f>VLOOKUP(A76,Data!$A$3:$AF$30,27,FALSE)</f>
        <v>37</v>
      </c>
    </row>
    <row r="77" spans="1:5" x14ac:dyDescent="0.3">
      <c r="A77" t="s">
        <v>9</v>
      </c>
      <c r="B77" t="s">
        <v>98</v>
      </c>
      <c r="C77" t="s">
        <v>71</v>
      </c>
      <c r="D77">
        <f>VLOOKUP(A77,Data!$A$3:$AF$30,26,FALSE)</f>
        <v>96</v>
      </c>
      <c r="E77">
        <f>VLOOKUP(A77,Data!$A$3:$AF$30,27,FALSE)</f>
        <v>37</v>
      </c>
    </row>
    <row r="78" spans="1:5" x14ac:dyDescent="0.3">
      <c r="A78" t="s">
        <v>9</v>
      </c>
      <c r="B78" t="s">
        <v>99</v>
      </c>
      <c r="C78" t="s">
        <v>131</v>
      </c>
      <c r="D78">
        <f>VLOOKUP(A78,Data!$A$3:$AF$30,26,FALSE)</f>
        <v>96</v>
      </c>
      <c r="E78">
        <f>VLOOKUP(A78,Data!$A$3:$AF$30,27,FALSE)</f>
        <v>37</v>
      </c>
    </row>
    <row r="79" spans="1:5" x14ac:dyDescent="0.3">
      <c r="A79" t="s">
        <v>9</v>
      </c>
      <c r="B79" t="s">
        <v>101</v>
      </c>
      <c r="C79" t="s">
        <v>138</v>
      </c>
      <c r="D79">
        <f>VLOOKUP(A79,Data!$A$3:$AF$30,26,FALSE)</f>
        <v>96</v>
      </c>
      <c r="E79">
        <f>VLOOKUP(A79,Data!$A$3:$AF$30,27,FALSE)</f>
        <v>37</v>
      </c>
    </row>
    <row r="80" spans="1:5" x14ac:dyDescent="0.3">
      <c r="A80" t="s">
        <v>9</v>
      </c>
      <c r="B80" t="s">
        <v>104</v>
      </c>
      <c r="C80" t="s">
        <v>71</v>
      </c>
      <c r="D80">
        <f>VLOOKUP(A80,Data!$A$3:$AF$30,26,FALSE)</f>
        <v>96</v>
      </c>
      <c r="E80">
        <f>VLOOKUP(A80,Data!$A$3:$AF$30,27,FALSE)</f>
        <v>37</v>
      </c>
    </row>
    <row r="81" spans="1:5" x14ac:dyDescent="0.3">
      <c r="A81" t="s">
        <v>9</v>
      </c>
      <c r="B81" t="s">
        <v>108</v>
      </c>
      <c r="C81" t="s">
        <v>71</v>
      </c>
      <c r="D81">
        <f>VLOOKUP(A81,Data!$A$3:$AF$30,26,FALSE)</f>
        <v>96</v>
      </c>
      <c r="E81">
        <f>VLOOKUP(A81,Data!$A$3:$AF$30,27,FALSE)</f>
        <v>37</v>
      </c>
    </row>
    <row r="82" spans="1:5" x14ac:dyDescent="0.3">
      <c r="A82" t="s">
        <v>9</v>
      </c>
      <c r="B82" t="s">
        <v>108</v>
      </c>
      <c r="C82" t="s">
        <v>139</v>
      </c>
      <c r="D82">
        <f>VLOOKUP(A82,Data!$A$3:$AF$30,26,FALSE)</f>
        <v>96</v>
      </c>
      <c r="E82">
        <f>VLOOKUP(A82,Data!$A$3:$AF$30,27,FALSE)</f>
        <v>37</v>
      </c>
    </row>
    <row r="83" spans="1:5" x14ac:dyDescent="0.3">
      <c r="A83" t="s">
        <v>9</v>
      </c>
      <c r="B83" t="s">
        <v>108</v>
      </c>
      <c r="C83" t="s">
        <v>137</v>
      </c>
      <c r="D83">
        <f>VLOOKUP(A83,Data!$A$3:$AF$30,26,FALSE)</f>
        <v>96</v>
      </c>
      <c r="E83">
        <f>VLOOKUP(A83,Data!$A$3:$AF$30,27,FALSE)</f>
        <v>37</v>
      </c>
    </row>
    <row r="84" spans="1:5" x14ac:dyDescent="0.3">
      <c r="A84" t="s">
        <v>10</v>
      </c>
      <c r="B84" t="s">
        <v>98</v>
      </c>
      <c r="C84" t="s">
        <v>74</v>
      </c>
      <c r="D84">
        <f>VLOOKUP(A84,Data!$A$3:$AF$30,26,FALSE)</f>
        <v>95</v>
      </c>
      <c r="E84">
        <f>VLOOKUP(A84,Data!$A$3:$AF$30,27,FALSE)</f>
        <v>39</v>
      </c>
    </row>
    <row r="85" spans="1:5" x14ac:dyDescent="0.3">
      <c r="A85" t="s">
        <v>10</v>
      </c>
      <c r="B85" t="s">
        <v>99</v>
      </c>
      <c r="C85" t="s">
        <v>127</v>
      </c>
      <c r="D85">
        <f>VLOOKUP(A85,Data!$A$3:$AF$30,26,FALSE)</f>
        <v>95</v>
      </c>
      <c r="E85">
        <f>VLOOKUP(A85,Data!$A$3:$AF$30,27,FALSE)</f>
        <v>39</v>
      </c>
    </row>
    <row r="86" spans="1:5" x14ac:dyDescent="0.3">
      <c r="A86" t="s">
        <v>10</v>
      </c>
      <c r="B86" t="s">
        <v>101</v>
      </c>
      <c r="C86" t="s">
        <v>140</v>
      </c>
      <c r="D86">
        <f>VLOOKUP(A86,Data!$A$3:$AF$30,26,FALSE)</f>
        <v>95</v>
      </c>
      <c r="E86">
        <f>VLOOKUP(A86,Data!$A$3:$AF$30,27,FALSE)</f>
        <v>39</v>
      </c>
    </row>
    <row r="87" spans="1:5" x14ac:dyDescent="0.3">
      <c r="A87" t="s">
        <v>10</v>
      </c>
      <c r="B87" t="s">
        <v>104</v>
      </c>
      <c r="C87" t="s">
        <v>141</v>
      </c>
      <c r="D87">
        <f>VLOOKUP(A87,Data!$A$3:$AF$30,26,FALSE)</f>
        <v>95</v>
      </c>
      <c r="E87">
        <f>VLOOKUP(A87,Data!$A$3:$AF$30,27,FALSE)</f>
        <v>39</v>
      </c>
    </row>
    <row r="88" spans="1:5" x14ac:dyDescent="0.3">
      <c r="A88" t="s">
        <v>10</v>
      </c>
      <c r="B88" t="s">
        <v>104</v>
      </c>
      <c r="C88" t="s">
        <v>74</v>
      </c>
      <c r="D88">
        <f>VLOOKUP(A88,Data!$A$3:$AF$30,26,FALSE)</f>
        <v>95</v>
      </c>
      <c r="E88">
        <f>VLOOKUP(A88,Data!$A$3:$AF$30,27,FALSE)</f>
        <v>39</v>
      </c>
    </row>
    <row r="89" spans="1:5" x14ac:dyDescent="0.3">
      <c r="A89" t="s">
        <v>10</v>
      </c>
      <c r="B89" t="s">
        <v>108</v>
      </c>
      <c r="C89" t="s">
        <v>109</v>
      </c>
      <c r="D89">
        <f>VLOOKUP(A89,Data!$A$3:$AF$30,26,FALSE)</f>
        <v>95</v>
      </c>
      <c r="E89">
        <f>VLOOKUP(A89,Data!$A$3:$AF$30,27,FALSE)</f>
        <v>39</v>
      </c>
    </row>
    <row r="90" spans="1:5" x14ac:dyDescent="0.3">
      <c r="A90" t="s">
        <v>10</v>
      </c>
      <c r="B90" t="s">
        <v>108</v>
      </c>
      <c r="C90" t="s">
        <v>74</v>
      </c>
      <c r="D90">
        <f>VLOOKUP(A90,Data!$A$3:$AF$30,26,FALSE)</f>
        <v>95</v>
      </c>
      <c r="E90">
        <f>VLOOKUP(A90,Data!$A$3:$AF$30,27,FALSE)</f>
        <v>39</v>
      </c>
    </row>
    <row r="91" spans="1:5" x14ac:dyDescent="0.3">
      <c r="A91" t="s">
        <v>11</v>
      </c>
      <c r="B91" t="s">
        <v>111</v>
      </c>
      <c r="C91" t="s">
        <v>129</v>
      </c>
      <c r="D91">
        <f>VLOOKUP(A91,Data!$A$3:$AF$30,26,FALSE)</f>
        <v>88</v>
      </c>
      <c r="E91">
        <f>VLOOKUP(A91,Data!$A$3:$AF$30,27,FALSE)</f>
        <v>37</v>
      </c>
    </row>
    <row r="92" spans="1:5" x14ac:dyDescent="0.3">
      <c r="A92" t="s">
        <v>11</v>
      </c>
      <c r="B92" t="s">
        <v>98</v>
      </c>
      <c r="C92" t="s">
        <v>109</v>
      </c>
      <c r="D92">
        <f>VLOOKUP(A92,Data!$A$3:$AF$30,26,FALSE)</f>
        <v>88</v>
      </c>
      <c r="E92">
        <f>VLOOKUP(A92,Data!$A$3:$AF$30,27,FALSE)</f>
        <v>37</v>
      </c>
    </row>
    <row r="93" spans="1:5" x14ac:dyDescent="0.3">
      <c r="A93" t="s">
        <v>11</v>
      </c>
      <c r="B93" t="s">
        <v>99</v>
      </c>
      <c r="C93" t="s">
        <v>131</v>
      </c>
      <c r="D93">
        <f>VLOOKUP(A93,Data!$A$3:$AF$30,26,FALSE)</f>
        <v>88</v>
      </c>
      <c r="E93">
        <f>VLOOKUP(A93,Data!$A$3:$AF$30,27,FALSE)</f>
        <v>37</v>
      </c>
    </row>
    <row r="94" spans="1:5" x14ac:dyDescent="0.3">
      <c r="A94" t="s">
        <v>11</v>
      </c>
      <c r="B94" t="s">
        <v>101</v>
      </c>
      <c r="C94" t="s">
        <v>142</v>
      </c>
      <c r="D94">
        <f>VLOOKUP(A94,Data!$A$3:$AF$30,26,FALSE)</f>
        <v>88</v>
      </c>
      <c r="E94">
        <f>VLOOKUP(A94,Data!$A$3:$AF$30,27,FALSE)</f>
        <v>37</v>
      </c>
    </row>
    <row r="95" spans="1:5" x14ac:dyDescent="0.3">
      <c r="A95" t="s">
        <v>11</v>
      </c>
      <c r="B95" t="s">
        <v>104</v>
      </c>
      <c r="C95" t="s">
        <v>109</v>
      </c>
      <c r="D95">
        <f>VLOOKUP(A95,Data!$A$3:$AF$30,26,FALSE)</f>
        <v>88</v>
      </c>
      <c r="E95">
        <f>VLOOKUP(A95,Data!$A$3:$AF$30,27,FALSE)</f>
        <v>37</v>
      </c>
    </row>
    <row r="96" spans="1:5" x14ac:dyDescent="0.3">
      <c r="A96" t="s">
        <v>11</v>
      </c>
      <c r="B96" t="s">
        <v>104</v>
      </c>
      <c r="C96" t="s">
        <v>129</v>
      </c>
      <c r="D96">
        <f>VLOOKUP(A96,Data!$A$3:$AF$30,26,FALSE)</f>
        <v>88</v>
      </c>
      <c r="E96">
        <f>VLOOKUP(A96,Data!$A$3:$AF$30,27,FALSE)</f>
        <v>37</v>
      </c>
    </row>
    <row r="97" spans="1:5" x14ac:dyDescent="0.3">
      <c r="A97" t="s">
        <v>11</v>
      </c>
      <c r="B97" t="s">
        <v>108</v>
      </c>
      <c r="C97" t="s">
        <v>109</v>
      </c>
      <c r="D97">
        <f>VLOOKUP(A97,Data!$A$3:$AF$30,26,FALSE)</f>
        <v>88</v>
      </c>
      <c r="E97">
        <f>VLOOKUP(A97,Data!$A$3:$AF$30,27,FALSE)</f>
        <v>37</v>
      </c>
    </row>
    <row r="98" spans="1:5" x14ac:dyDescent="0.3">
      <c r="A98" t="s">
        <v>11</v>
      </c>
      <c r="B98" t="s">
        <v>108</v>
      </c>
      <c r="C98" t="s">
        <v>143</v>
      </c>
      <c r="D98">
        <f>VLOOKUP(A98,Data!$A$3:$AF$30,26,FALSE)</f>
        <v>88</v>
      </c>
      <c r="E98">
        <f>VLOOKUP(A98,Data!$A$3:$AF$30,27,FALSE)</f>
        <v>37</v>
      </c>
    </row>
    <row r="99" spans="1:5" x14ac:dyDescent="0.3">
      <c r="A99" t="s">
        <v>11</v>
      </c>
      <c r="B99" t="s">
        <v>108</v>
      </c>
      <c r="C99" t="s">
        <v>129</v>
      </c>
      <c r="D99">
        <f>VLOOKUP(A99,Data!$A$3:$AF$30,26,FALSE)</f>
        <v>88</v>
      </c>
      <c r="E99">
        <f>VLOOKUP(A99,Data!$A$3:$AF$30,27,FALSE)</f>
        <v>37</v>
      </c>
    </row>
    <row r="100" spans="1:5" x14ac:dyDescent="0.3">
      <c r="A100" t="s">
        <v>12</v>
      </c>
      <c r="B100" t="s">
        <v>98</v>
      </c>
      <c r="C100" t="s">
        <v>76</v>
      </c>
      <c r="D100">
        <f>VLOOKUP(A100,Data!$A$3:$AF$30,26,FALSE)</f>
        <v>92</v>
      </c>
      <c r="E100">
        <f>VLOOKUP(A100,Data!$A$3:$AF$30,27,FALSE)</f>
        <v>39</v>
      </c>
    </row>
    <row r="101" spans="1:5" x14ac:dyDescent="0.3">
      <c r="A101" t="s">
        <v>12</v>
      </c>
      <c r="B101" t="s">
        <v>99</v>
      </c>
      <c r="C101" t="s">
        <v>100</v>
      </c>
      <c r="D101">
        <f>VLOOKUP(A101,Data!$A$3:$AF$30,26,FALSE)</f>
        <v>92</v>
      </c>
      <c r="E101">
        <f>VLOOKUP(A101,Data!$A$3:$AF$30,27,FALSE)</f>
        <v>39</v>
      </c>
    </row>
    <row r="102" spans="1:5" x14ac:dyDescent="0.3">
      <c r="A102" t="s">
        <v>12</v>
      </c>
      <c r="B102" t="s">
        <v>101</v>
      </c>
      <c r="C102" t="s">
        <v>112</v>
      </c>
      <c r="D102">
        <f>VLOOKUP(A102,Data!$A$3:$AF$30,26,FALSE)</f>
        <v>92</v>
      </c>
      <c r="E102">
        <f>VLOOKUP(A102,Data!$A$3:$AF$30,27,FALSE)</f>
        <v>39</v>
      </c>
    </row>
    <row r="103" spans="1:5" x14ac:dyDescent="0.3">
      <c r="A103" t="s">
        <v>12</v>
      </c>
      <c r="B103" t="s">
        <v>104</v>
      </c>
      <c r="C103" t="s">
        <v>144</v>
      </c>
      <c r="D103">
        <f>VLOOKUP(A103,Data!$A$3:$AF$30,26,FALSE)</f>
        <v>92</v>
      </c>
      <c r="E103">
        <f>VLOOKUP(A103,Data!$A$3:$AF$30,27,FALSE)</f>
        <v>39</v>
      </c>
    </row>
    <row r="104" spans="1:5" x14ac:dyDescent="0.3">
      <c r="A104" t="s">
        <v>12</v>
      </c>
      <c r="B104" t="s">
        <v>108</v>
      </c>
      <c r="C104" t="s">
        <v>66</v>
      </c>
      <c r="D104">
        <f>VLOOKUP(A104,Data!$A$3:$AF$30,26,FALSE)</f>
        <v>92</v>
      </c>
      <c r="E104">
        <f>VLOOKUP(A104,Data!$A$3:$AF$30,27,FALSE)</f>
        <v>39</v>
      </c>
    </row>
    <row r="105" spans="1:5" x14ac:dyDescent="0.3">
      <c r="A105" t="s">
        <v>12</v>
      </c>
      <c r="B105" t="s">
        <v>108</v>
      </c>
      <c r="C105" t="s">
        <v>74</v>
      </c>
      <c r="D105">
        <f>VLOOKUP(A105,Data!$A$3:$AF$30,26,FALSE)</f>
        <v>92</v>
      </c>
      <c r="E105">
        <f>VLOOKUP(A105,Data!$A$3:$AF$30,27,FALSE)</f>
        <v>39</v>
      </c>
    </row>
    <row r="106" spans="1:5" x14ac:dyDescent="0.3">
      <c r="A106" t="s">
        <v>12</v>
      </c>
      <c r="B106" t="s">
        <v>108</v>
      </c>
      <c r="C106" t="s">
        <v>76</v>
      </c>
      <c r="D106">
        <f>VLOOKUP(A106,Data!$A$3:$AF$30,26,FALSE)</f>
        <v>92</v>
      </c>
      <c r="E106">
        <f>VLOOKUP(A106,Data!$A$3:$AF$30,27,FALSE)</f>
        <v>39</v>
      </c>
    </row>
    <row r="107" spans="1:5" x14ac:dyDescent="0.3">
      <c r="A107" t="s">
        <v>13</v>
      </c>
      <c r="B107" t="s">
        <v>111</v>
      </c>
      <c r="C107" t="s">
        <v>138</v>
      </c>
      <c r="D107">
        <f>VLOOKUP(A107,Data!$A$3:$AF$30,26,FALSE)</f>
        <v>57</v>
      </c>
      <c r="E107">
        <f>VLOOKUP(A107,Data!$A$3:$AF$30,27,FALSE)</f>
        <v>38</v>
      </c>
    </row>
    <row r="108" spans="1:5" x14ac:dyDescent="0.3">
      <c r="A108" t="s">
        <v>13</v>
      </c>
      <c r="B108" t="s">
        <v>98</v>
      </c>
      <c r="C108" t="s">
        <v>66</v>
      </c>
      <c r="D108">
        <f>VLOOKUP(A108,Data!$A$3:$AF$30,26,FALSE)</f>
        <v>57</v>
      </c>
      <c r="E108">
        <f>VLOOKUP(A108,Data!$A$3:$AF$30,27,FALSE)</f>
        <v>38</v>
      </c>
    </row>
    <row r="109" spans="1:5" x14ac:dyDescent="0.3">
      <c r="A109" t="s">
        <v>13</v>
      </c>
      <c r="B109" t="s">
        <v>99</v>
      </c>
      <c r="C109" t="s">
        <v>131</v>
      </c>
      <c r="D109">
        <f>VLOOKUP(A109,Data!$A$3:$AF$30,26,FALSE)</f>
        <v>57</v>
      </c>
      <c r="E109">
        <f>VLOOKUP(A109,Data!$A$3:$AF$30,27,FALSE)</f>
        <v>38</v>
      </c>
    </row>
    <row r="110" spans="1:5" x14ac:dyDescent="0.3">
      <c r="A110" t="s">
        <v>13</v>
      </c>
      <c r="B110" t="s">
        <v>101</v>
      </c>
      <c r="C110" t="s">
        <v>145</v>
      </c>
      <c r="D110">
        <f>VLOOKUP(A110,Data!$A$3:$AF$30,26,FALSE)</f>
        <v>57</v>
      </c>
      <c r="E110">
        <f>VLOOKUP(A110,Data!$A$3:$AF$30,27,FALSE)</f>
        <v>38</v>
      </c>
    </row>
    <row r="111" spans="1:5" x14ac:dyDescent="0.3">
      <c r="A111" t="s">
        <v>13</v>
      </c>
      <c r="B111" t="s">
        <v>104</v>
      </c>
      <c r="C111" t="s">
        <v>146</v>
      </c>
      <c r="D111">
        <f>VLOOKUP(A111,Data!$A$3:$AF$30,26,FALSE)</f>
        <v>57</v>
      </c>
      <c r="E111">
        <f>VLOOKUP(A111,Data!$A$3:$AF$30,27,FALSE)</f>
        <v>38</v>
      </c>
    </row>
    <row r="112" spans="1:5" x14ac:dyDescent="0.3">
      <c r="A112" t="s">
        <v>13</v>
      </c>
      <c r="B112" t="s">
        <v>108</v>
      </c>
      <c r="C112" t="s">
        <v>133</v>
      </c>
      <c r="D112">
        <f>VLOOKUP(A112,Data!$A$3:$AF$30,26,FALSE)</f>
        <v>57</v>
      </c>
      <c r="E112">
        <f>VLOOKUP(A112,Data!$A$3:$AF$30,27,FALSE)</f>
        <v>38</v>
      </c>
    </row>
    <row r="113" spans="1:5" x14ac:dyDescent="0.3">
      <c r="A113" t="s">
        <v>13</v>
      </c>
      <c r="B113" t="s">
        <v>108</v>
      </c>
      <c r="C113" t="s">
        <v>66</v>
      </c>
      <c r="D113">
        <f>VLOOKUP(A113,Data!$A$3:$AF$30,26,FALSE)</f>
        <v>57</v>
      </c>
      <c r="E113">
        <f>VLOOKUP(A113,Data!$A$3:$AF$30,27,FALSE)</f>
        <v>38</v>
      </c>
    </row>
    <row r="114" spans="1:5" x14ac:dyDescent="0.3">
      <c r="A114" t="s">
        <v>13</v>
      </c>
      <c r="B114" t="s">
        <v>108</v>
      </c>
      <c r="C114" t="s">
        <v>138</v>
      </c>
      <c r="D114">
        <f>VLOOKUP(A114,Data!$A$3:$AF$30,26,FALSE)</f>
        <v>57</v>
      </c>
      <c r="E114">
        <f>VLOOKUP(A114,Data!$A$3:$AF$30,27,FALSE)</f>
        <v>38</v>
      </c>
    </row>
    <row r="115" spans="1:5" x14ac:dyDescent="0.3">
      <c r="A115" t="s">
        <v>14</v>
      </c>
      <c r="B115" t="s">
        <v>111</v>
      </c>
      <c r="C115" t="s">
        <v>147</v>
      </c>
      <c r="D115">
        <f>VLOOKUP(A115,Data!$A$3:$AF$30,26,FALSE)</f>
        <v>69</v>
      </c>
      <c r="E115">
        <f>VLOOKUP(A115,Data!$A$3:$AF$30,27,FALSE)</f>
        <v>37</v>
      </c>
    </row>
    <row r="116" spans="1:5" x14ac:dyDescent="0.3">
      <c r="A116" t="s">
        <v>14</v>
      </c>
      <c r="B116" t="s">
        <v>98</v>
      </c>
      <c r="C116" t="s">
        <v>147</v>
      </c>
      <c r="D116">
        <f>VLOOKUP(A116,Data!$A$3:$AF$30,26,FALSE)</f>
        <v>69</v>
      </c>
      <c r="E116">
        <f>VLOOKUP(A116,Data!$A$3:$AF$30,27,FALSE)</f>
        <v>37</v>
      </c>
    </row>
    <row r="117" spans="1:5" x14ac:dyDescent="0.3">
      <c r="A117" t="s">
        <v>14</v>
      </c>
      <c r="B117" t="s">
        <v>98</v>
      </c>
      <c r="C117" t="s">
        <v>147</v>
      </c>
      <c r="D117">
        <f>VLOOKUP(A117,Data!$A$3:$AF$30,26,FALSE)</f>
        <v>69</v>
      </c>
      <c r="E117">
        <f>VLOOKUP(A117,Data!$A$3:$AF$30,27,FALSE)</f>
        <v>37</v>
      </c>
    </row>
    <row r="118" spans="1:5" x14ac:dyDescent="0.3">
      <c r="A118" t="s">
        <v>14</v>
      </c>
      <c r="B118" t="s">
        <v>99</v>
      </c>
      <c r="C118" t="s">
        <v>147</v>
      </c>
      <c r="D118">
        <f>VLOOKUP(A118,Data!$A$3:$AF$30,26,FALSE)</f>
        <v>69</v>
      </c>
      <c r="E118">
        <f>VLOOKUP(A118,Data!$A$3:$AF$30,27,FALSE)</f>
        <v>37</v>
      </c>
    </row>
    <row r="119" spans="1:5" x14ac:dyDescent="0.3">
      <c r="A119" t="s">
        <v>14</v>
      </c>
      <c r="B119" t="s">
        <v>101</v>
      </c>
      <c r="C119" t="s">
        <v>147</v>
      </c>
      <c r="D119">
        <f>VLOOKUP(A119,Data!$A$3:$AF$30,26,FALSE)</f>
        <v>69</v>
      </c>
      <c r="E119">
        <f>VLOOKUP(A119,Data!$A$3:$AF$30,27,FALSE)</f>
        <v>37</v>
      </c>
    </row>
    <row r="120" spans="1:5" x14ac:dyDescent="0.3">
      <c r="A120" t="s">
        <v>14</v>
      </c>
      <c r="B120" t="s">
        <v>104</v>
      </c>
      <c r="C120" t="s">
        <v>147</v>
      </c>
      <c r="D120">
        <f>VLOOKUP(A120,Data!$A$3:$AF$30,26,FALSE)</f>
        <v>69</v>
      </c>
      <c r="E120">
        <f>VLOOKUP(A120,Data!$A$3:$AF$30,27,FALSE)</f>
        <v>37</v>
      </c>
    </row>
    <row r="121" spans="1:5" x14ac:dyDescent="0.3">
      <c r="A121" t="s">
        <v>14</v>
      </c>
      <c r="B121" t="s">
        <v>104</v>
      </c>
      <c r="C121" t="s">
        <v>147</v>
      </c>
      <c r="D121">
        <f>VLOOKUP(A121,Data!$A$3:$AF$30,26,FALSE)</f>
        <v>69</v>
      </c>
      <c r="E121">
        <f>VLOOKUP(A121,Data!$A$3:$AF$30,27,FALSE)</f>
        <v>37</v>
      </c>
    </row>
    <row r="122" spans="1:5" x14ac:dyDescent="0.3">
      <c r="A122" t="s">
        <v>14</v>
      </c>
      <c r="B122" t="s">
        <v>104</v>
      </c>
      <c r="C122" t="s">
        <v>147</v>
      </c>
      <c r="D122">
        <f>VLOOKUP(A122,Data!$A$3:$AF$30,26,FALSE)</f>
        <v>69</v>
      </c>
      <c r="E122">
        <f>VLOOKUP(A122,Data!$A$3:$AF$30,27,FALSE)</f>
        <v>37</v>
      </c>
    </row>
    <row r="123" spans="1:5" x14ac:dyDescent="0.3">
      <c r="A123" t="s">
        <v>14</v>
      </c>
      <c r="B123" t="s">
        <v>104</v>
      </c>
      <c r="C123" t="s">
        <v>147</v>
      </c>
      <c r="D123">
        <f>VLOOKUP(A123,Data!$A$3:$AF$30,26,FALSE)</f>
        <v>69</v>
      </c>
      <c r="E123">
        <f>VLOOKUP(A123,Data!$A$3:$AF$30,27,FALSE)</f>
        <v>37</v>
      </c>
    </row>
    <row r="124" spans="1:5" x14ac:dyDescent="0.3">
      <c r="A124" t="s">
        <v>14</v>
      </c>
      <c r="B124" t="s">
        <v>108</v>
      </c>
      <c r="C124" t="s">
        <v>147</v>
      </c>
      <c r="D124">
        <f>VLOOKUP(A124,Data!$A$3:$AF$30,26,FALSE)</f>
        <v>69</v>
      </c>
      <c r="E124">
        <f>VLOOKUP(A124,Data!$A$3:$AF$30,27,FALSE)</f>
        <v>37</v>
      </c>
    </row>
    <row r="125" spans="1:5" x14ac:dyDescent="0.3">
      <c r="A125" t="s">
        <v>15</v>
      </c>
      <c r="B125" t="s">
        <v>98</v>
      </c>
      <c r="C125" t="s">
        <v>78</v>
      </c>
      <c r="D125">
        <f>VLOOKUP(A125,Data!$A$3:$AF$30,26,FALSE)</f>
        <v>65</v>
      </c>
      <c r="E125">
        <f>VLOOKUP(A125,Data!$A$3:$AF$30,27,FALSE)</f>
        <v>41</v>
      </c>
    </row>
    <row r="126" spans="1:5" x14ac:dyDescent="0.3">
      <c r="A126" t="s">
        <v>15</v>
      </c>
      <c r="B126" t="s">
        <v>99</v>
      </c>
      <c r="C126" t="s">
        <v>100</v>
      </c>
      <c r="D126">
        <f>VLOOKUP(A126,Data!$A$3:$AF$30,26,FALSE)</f>
        <v>65</v>
      </c>
      <c r="E126">
        <f>VLOOKUP(A126,Data!$A$3:$AF$30,27,FALSE)</f>
        <v>41</v>
      </c>
    </row>
    <row r="127" spans="1:5" x14ac:dyDescent="0.3">
      <c r="A127" t="s">
        <v>15</v>
      </c>
      <c r="B127" t="s">
        <v>101</v>
      </c>
      <c r="C127" t="s">
        <v>148</v>
      </c>
      <c r="D127">
        <f>VLOOKUP(A127,Data!$A$3:$AF$30,26,FALSE)</f>
        <v>65</v>
      </c>
      <c r="E127">
        <f>VLOOKUP(A127,Data!$A$3:$AF$30,27,FALSE)</f>
        <v>41</v>
      </c>
    </row>
    <row r="128" spans="1:5" x14ac:dyDescent="0.3">
      <c r="A128" t="s">
        <v>15</v>
      </c>
      <c r="B128" t="s">
        <v>104</v>
      </c>
      <c r="C128" t="s">
        <v>149</v>
      </c>
      <c r="D128">
        <f>VLOOKUP(A128,Data!$A$3:$AF$30,26,FALSE)</f>
        <v>65</v>
      </c>
      <c r="E128">
        <f>VLOOKUP(A128,Data!$A$3:$AF$30,27,FALSE)</f>
        <v>41</v>
      </c>
    </row>
    <row r="129" spans="1:5" x14ac:dyDescent="0.3">
      <c r="A129" t="s">
        <v>15</v>
      </c>
      <c r="B129" t="s">
        <v>104</v>
      </c>
      <c r="C129" t="s">
        <v>123</v>
      </c>
      <c r="D129">
        <f>VLOOKUP(A129,Data!$A$3:$AF$30,26,FALSE)</f>
        <v>65</v>
      </c>
      <c r="E129">
        <f>VLOOKUP(A129,Data!$A$3:$AF$30,27,FALSE)</f>
        <v>41</v>
      </c>
    </row>
    <row r="130" spans="1:5" x14ac:dyDescent="0.3">
      <c r="A130" t="s">
        <v>15</v>
      </c>
      <c r="B130" t="s">
        <v>104</v>
      </c>
      <c r="C130" t="s">
        <v>78</v>
      </c>
      <c r="D130">
        <f>VLOOKUP(A130,Data!$A$3:$AF$30,26,FALSE)</f>
        <v>65</v>
      </c>
      <c r="E130">
        <f>VLOOKUP(A130,Data!$A$3:$AF$30,27,FALSE)</f>
        <v>41</v>
      </c>
    </row>
    <row r="131" spans="1:5" x14ac:dyDescent="0.3">
      <c r="A131" t="s">
        <v>15</v>
      </c>
      <c r="B131" t="s">
        <v>108</v>
      </c>
      <c r="C131" t="s">
        <v>149</v>
      </c>
      <c r="D131">
        <f>VLOOKUP(A131,Data!$A$3:$AF$30,26,FALSE)</f>
        <v>65</v>
      </c>
      <c r="E131">
        <f>VLOOKUP(A131,Data!$A$3:$AF$30,27,FALSE)</f>
        <v>41</v>
      </c>
    </row>
    <row r="132" spans="1:5" x14ac:dyDescent="0.3">
      <c r="A132" t="s">
        <v>15</v>
      </c>
      <c r="B132" t="s">
        <v>108</v>
      </c>
      <c r="C132" t="s">
        <v>123</v>
      </c>
      <c r="D132">
        <f>VLOOKUP(A132,Data!$A$3:$AF$30,26,FALSE)</f>
        <v>65</v>
      </c>
      <c r="E132">
        <f>VLOOKUP(A132,Data!$A$3:$AF$30,27,FALSE)</f>
        <v>41</v>
      </c>
    </row>
    <row r="133" spans="1:5" x14ac:dyDescent="0.3">
      <c r="A133" t="s">
        <v>15</v>
      </c>
      <c r="B133" t="s">
        <v>108</v>
      </c>
      <c r="C133" t="s">
        <v>78</v>
      </c>
      <c r="D133">
        <f>VLOOKUP(A133,Data!$A$3:$AF$30,26,FALSE)</f>
        <v>65</v>
      </c>
      <c r="E133">
        <f>VLOOKUP(A133,Data!$A$3:$AF$30,27,FALSE)</f>
        <v>41</v>
      </c>
    </row>
    <row r="134" spans="1:5" x14ac:dyDescent="0.3">
      <c r="A134" t="s">
        <v>16</v>
      </c>
      <c r="B134" t="s">
        <v>111</v>
      </c>
      <c r="C134" t="s">
        <v>150</v>
      </c>
      <c r="D134">
        <f>VLOOKUP(A134,Data!$A$3:$AF$30,26,FALSE)</f>
        <v>94</v>
      </c>
      <c r="E134">
        <f>VLOOKUP(A134,Data!$A$3:$AF$30,27,FALSE)</f>
        <v>55</v>
      </c>
    </row>
    <row r="135" spans="1:5" x14ac:dyDescent="0.3">
      <c r="A135" t="s">
        <v>16</v>
      </c>
      <c r="B135" t="s">
        <v>98</v>
      </c>
      <c r="C135" t="s">
        <v>109</v>
      </c>
      <c r="D135">
        <f>VLOOKUP(A135,Data!$A$3:$AF$30,26,FALSE)</f>
        <v>94</v>
      </c>
      <c r="E135">
        <f>VLOOKUP(A135,Data!$A$3:$AF$30,27,FALSE)</f>
        <v>55</v>
      </c>
    </row>
    <row r="136" spans="1:5" x14ac:dyDescent="0.3">
      <c r="A136" t="s">
        <v>16</v>
      </c>
      <c r="B136" t="s">
        <v>99</v>
      </c>
      <c r="C136" t="s">
        <v>131</v>
      </c>
      <c r="D136">
        <f>VLOOKUP(A136,Data!$A$3:$AF$30,26,FALSE)</f>
        <v>94</v>
      </c>
      <c r="E136">
        <f>VLOOKUP(A136,Data!$A$3:$AF$30,27,FALSE)</f>
        <v>55</v>
      </c>
    </row>
    <row r="137" spans="1:5" x14ac:dyDescent="0.3">
      <c r="A137" t="s">
        <v>16</v>
      </c>
      <c r="B137" t="s">
        <v>101</v>
      </c>
      <c r="C137" t="s">
        <v>142</v>
      </c>
      <c r="D137">
        <f>VLOOKUP(A137,Data!$A$3:$AF$30,26,FALSE)</f>
        <v>94</v>
      </c>
      <c r="E137">
        <f>VLOOKUP(A137,Data!$A$3:$AF$30,27,FALSE)</f>
        <v>55</v>
      </c>
    </row>
    <row r="138" spans="1:5" x14ac:dyDescent="0.3">
      <c r="A138" t="s">
        <v>16</v>
      </c>
      <c r="B138" t="s">
        <v>104</v>
      </c>
      <c r="C138" t="s">
        <v>84</v>
      </c>
      <c r="D138">
        <f>VLOOKUP(A138,Data!$A$3:$AF$30,26,FALSE)</f>
        <v>94</v>
      </c>
      <c r="E138">
        <f>VLOOKUP(A138,Data!$A$3:$AF$30,27,FALSE)</f>
        <v>55</v>
      </c>
    </row>
    <row r="139" spans="1:5" x14ac:dyDescent="0.3">
      <c r="A139" t="s">
        <v>16</v>
      </c>
      <c r="B139" t="s">
        <v>104</v>
      </c>
      <c r="C139" t="s">
        <v>109</v>
      </c>
      <c r="D139">
        <f>VLOOKUP(A139,Data!$A$3:$AF$30,26,FALSE)</f>
        <v>94</v>
      </c>
      <c r="E139">
        <f>VLOOKUP(A139,Data!$A$3:$AF$30,27,FALSE)</f>
        <v>55</v>
      </c>
    </row>
    <row r="140" spans="1:5" x14ac:dyDescent="0.3">
      <c r="A140" t="s">
        <v>16</v>
      </c>
      <c r="B140" t="s">
        <v>104</v>
      </c>
      <c r="C140" t="s">
        <v>151</v>
      </c>
      <c r="D140">
        <f>VLOOKUP(A140,Data!$A$3:$AF$30,26,FALSE)</f>
        <v>94</v>
      </c>
      <c r="E140">
        <f>VLOOKUP(A140,Data!$A$3:$AF$30,27,FALSE)</f>
        <v>55</v>
      </c>
    </row>
    <row r="141" spans="1:5" x14ac:dyDescent="0.3">
      <c r="A141" t="s">
        <v>16</v>
      </c>
      <c r="B141" t="s">
        <v>108</v>
      </c>
      <c r="C141" t="s">
        <v>152</v>
      </c>
      <c r="D141">
        <f>VLOOKUP(A141,Data!$A$3:$AF$30,26,FALSE)</f>
        <v>94</v>
      </c>
      <c r="E141">
        <f>VLOOKUP(A141,Data!$A$3:$AF$30,27,FALSE)</f>
        <v>55</v>
      </c>
    </row>
    <row r="142" spans="1:5" x14ac:dyDescent="0.3">
      <c r="A142" t="s">
        <v>16</v>
      </c>
      <c r="B142" t="s">
        <v>108</v>
      </c>
      <c r="C142" t="s">
        <v>109</v>
      </c>
      <c r="D142">
        <f>VLOOKUP(A142,Data!$A$3:$AF$30,26,FALSE)</f>
        <v>94</v>
      </c>
      <c r="E142">
        <f>VLOOKUP(A142,Data!$A$3:$AF$30,27,FALSE)</f>
        <v>55</v>
      </c>
    </row>
    <row r="143" spans="1:5" x14ac:dyDescent="0.3">
      <c r="A143" t="s">
        <v>17</v>
      </c>
      <c r="B143" t="s">
        <v>98</v>
      </c>
      <c r="C143" t="s">
        <v>80</v>
      </c>
      <c r="D143">
        <f>VLOOKUP(A143,Data!$A$3:$AF$30,26,FALSE)</f>
        <v>66</v>
      </c>
      <c r="E143">
        <f>VLOOKUP(A143,Data!$A$3:$AF$30,27,FALSE)</f>
        <v>37</v>
      </c>
    </row>
    <row r="144" spans="1:5" x14ac:dyDescent="0.3">
      <c r="A144" t="s">
        <v>17</v>
      </c>
      <c r="B144" t="s">
        <v>99</v>
      </c>
      <c r="C144" t="s">
        <v>153</v>
      </c>
      <c r="D144">
        <f>VLOOKUP(A144,Data!$A$3:$AF$30,26,FALSE)</f>
        <v>66</v>
      </c>
      <c r="E144">
        <f>VLOOKUP(A144,Data!$A$3:$AF$30,27,FALSE)</f>
        <v>37</v>
      </c>
    </row>
    <row r="145" spans="1:5" x14ac:dyDescent="0.3">
      <c r="A145" t="s">
        <v>17</v>
      </c>
      <c r="B145" t="s">
        <v>99</v>
      </c>
      <c r="C145" t="s">
        <v>154</v>
      </c>
      <c r="D145">
        <f>VLOOKUP(A145,Data!$A$3:$AF$30,26,FALSE)</f>
        <v>66</v>
      </c>
      <c r="E145">
        <f>VLOOKUP(A145,Data!$A$3:$AF$30,27,FALSE)</f>
        <v>37</v>
      </c>
    </row>
    <row r="146" spans="1:5" x14ac:dyDescent="0.3">
      <c r="A146" t="s">
        <v>17</v>
      </c>
      <c r="B146" t="s">
        <v>101</v>
      </c>
      <c r="C146" t="s">
        <v>145</v>
      </c>
      <c r="D146">
        <f>VLOOKUP(A146,Data!$A$3:$AF$30,26,FALSE)</f>
        <v>66</v>
      </c>
      <c r="E146">
        <f>VLOOKUP(A146,Data!$A$3:$AF$30,27,FALSE)</f>
        <v>37</v>
      </c>
    </row>
    <row r="147" spans="1:5" x14ac:dyDescent="0.3">
      <c r="A147" t="s">
        <v>17</v>
      </c>
      <c r="B147" t="s">
        <v>104</v>
      </c>
      <c r="C147" t="s">
        <v>151</v>
      </c>
      <c r="D147">
        <f>VLOOKUP(A147,Data!$A$3:$AF$30,26,FALSE)</f>
        <v>66</v>
      </c>
      <c r="E147">
        <f>VLOOKUP(A147,Data!$A$3:$AF$30,27,FALSE)</f>
        <v>37</v>
      </c>
    </row>
    <row r="148" spans="1:5" x14ac:dyDescent="0.3">
      <c r="A148" t="s">
        <v>17</v>
      </c>
      <c r="B148" t="s">
        <v>108</v>
      </c>
      <c r="C148" t="s">
        <v>155</v>
      </c>
      <c r="D148">
        <f>VLOOKUP(A148,Data!$A$3:$AF$30,26,FALSE)</f>
        <v>66</v>
      </c>
      <c r="E148">
        <f>VLOOKUP(A148,Data!$A$3:$AF$30,27,FALSE)</f>
        <v>37</v>
      </c>
    </row>
    <row r="149" spans="1:5" x14ac:dyDescent="0.3">
      <c r="A149" t="s">
        <v>17</v>
      </c>
      <c r="B149" t="s">
        <v>108</v>
      </c>
      <c r="C149" t="s">
        <v>151</v>
      </c>
      <c r="D149">
        <f>VLOOKUP(A149,Data!$A$3:$AF$30,26,FALSE)</f>
        <v>66</v>
      </c>
      <c r="E149">
        <f>VLOOKUP(A149,Data!$A$3:$AF$30,27,FALSE)</f>
        <v>37</v>
      </c>
    </row>
    <row r="150" spans="1:5" x14ac:dyDescent="0.3">
      <c r="A150" t="s">
        <v>17</v>
      </c>
      <c r="B150" t="s">
        <v>108</v>
      </c>
      <c r="C150" t="s">
        <v>89</v>
      </c>
      <c r="D150">
        <f>VLOOKUP(A150,Data!$A$3:$AF$30,26,FALSE)</f>
        <v>66</v>
      </c>
      <c r="E150">
        <f>VLOOKUP(A150,Data!$A$3:$AF$30,27,FALSE)</f>
        <v>37</v>
      </c>
    </row>
    <row r="151" spans="1:5" x14ac:dyDescent="0.3">
      <c r="A151" t="s">
        <v>17</v>
      </c>
      <c r="B151" t="s">
        <v>108</v>
      </c>
      <c r="C151" t="s">
        <v>129</v>
      </c>
      <c r="D151">
        <f>VLOOKUP(A151,Data!$A$3:$AF$30,26,FALSE)</f>
        <v>66</v>
      </c>
      <c r="E151">
        <f>VLOOKUP(A151,Data!$A$3:$AF$30,27,FALSE)</f>
        <v>37</v>
      </c>
    </row>
    <row r="152" spans="1:5" x14ac:dyDescent="0.3">
      <c r="A152" t="s">
        <v>17</v>
      </c>
      <c r="B152" t="s">
        <v>108</v>
      </c>
      <c r="C152" t="s">
        <v>80</v>
      </c>
      <c r="D152">
        <f>VLOOKUP(A152,Data!$A$3:$AF$30,26,FALSE)</f>
        <v>66</v>
      </c>
      <c r="E152">
        <f>VLOOKUP(A152,Data!$A$3:$AF$30,27,FALSE)</f>
        <v>37</v>
      </c>
    </row>
    <row r="153" spans="1:5" x14ac:dyDescent="0.3">
      <c r="A153" t="s">
        <v>18</v>
      </c>
      <c r="B153" t="s">
        <v>111</v>
      </c>
      <c r="C153" t="s">
        <v>88</v>
      </c>
      <c r="D153">
        <f>VLOOKUP(A153,Data!$A$3:$AF$30,26,FALSE)</f>
        <v>77</v>
      </c>
      <c r="E153">
        <f>VLOOKUP(A153,Data!$A$3:$AF$30,27,FALSE)</f>
        <v>48</v>
      </c>
    </row>
    <row r="154" spans="1:5" x14ac:dyDescent="0.3">
      <c r="A154" t="s">
        <v>18</v>
      </c>
      <c r="B154" t="s">
        <v>98</v>
      </c>
      <c r="C154" t="s">
        <v>74</v>
      </c>
      <c r="D154">
        <f>VLOOKUP(A154,Data!$A$3:$AF$30,26,FALSE)</f>
        <v>77</v>
      </c>
      <c r="E154">
        <f>VLOOKUP(A154,Data!$A$3:$AF$30,27,FALSE)</f>
        <v>48</v>
      </c>
    </row>
    <row r="155" spans="1:5" x14ac:dyDescent="0.3">
      <c r="A155" t="s">
        <v>18</v>
      </c>
      <c r="B155" t="s">
        <v>99</v>
      </c>
      <c r="C155" t="s">
        <v>127</v>
      </c>
      <c r="D155">
        <f>VLOOKUP(A155,Data!$A$3:$AF$30,26,FALSE)</f>
        <v>77</v>
      </c>
      <c r="E155">
        <f>VLOOKUP(A155,Data!$A$3:$AF$30,27,FALSE)</f>
        <v>48</v>
      </c>
    </row>
    <row r="156" spans="1:5" x14ac:dyDescent="0.3">
      <c r="A156" t="s">
        <v>18</v>
      </c>
      <c r="B156" t="s">
        <v>101</v>
      </c>
      <c r="C156" t="s">
        <v>156</v>
      </c>
      <c r="D156">
        <f>VLOOKUP(A156,Data!$A$3:$AF$30,26,FALSE)</f>
        <v>77</v>
      </c>
      <c r="E156">
        <f>VLOOKUP(A156,Data!$A$3:$AF$30,27,FALSE)</f>
        <v>48</v>
      </c>
    </row>
    <row r="157" spans="1:5" x14ac:dyDescent="0.3">
      <c r="A157" t="s">
        <v>18</v>
      </c>
      <c r="B157" t="s">
        <v>104</v>
      </c>
      <c r="C157" t="s">
        <v>74</v>
      </c>
      <c r="D157">
        <f>VLOOKUP(A157,Data!$A$3:$AF$30,26,FALSE)</f>
        <v>77</v>
      </c>
      <c r="E157">
        <f>VLOOKUP(A157,Data!$A$3:$AF$30,27,FALSE)</f>
        <v>48</v>
      </c>
    </row>
    <row r="158" spans="1:5" x14ac:dyDescent="0.3">
      <c r="A158" t="s">
        <v>18</v>
      </c>
      <c r="B158" t="s">
        <v>104</v>
      </c>
      <c r="C158" t="s">
        <v>157</v>
      </c>
      <c r="D158">
        <f>VLOOKUP(A158,Data!$A$3:$AF$30,26,FALSE)</f>
        <v>77</v>
      </c>
      <c r="E158">
        <f>VLOOKUP(A158,Data!$A$3:$AF$30,27,FALSE)</f>
        <v>48</v>
      </c>
    </row>
    <row r="159" spans="1:5" x14ac:dyDescent="0.3">
      <c r="A159" t="s">
        <v>18</v>
      </c>
      <c r="B159" t="s">
        <v>108</v>
      </c>
      <c r="C159" t="s">
        <v>74</v>
      </c>
      <c r="D159">
        <f>VLOOKUP(A159,Data!$A$3:$AF$30,26,FALSE)</f>
        <v>77</v>
      </c>
      <c r="E159">
        <f>VLOOKUP(A159,Data!$A$3:$AF$30,27,FALSE)</f>
        <v>48</v>
      </c>
    </row>
    <row r="160" spans="1:5" x14ac:dyDescent="0.3">
      <c r="A160" t="s">
        <v>19</v>
      </c>
      <c r="B160" t="s">
        <v>98</v>
      </c>
      <c r="C160" t="s">
        <v>82</v>
      </c>
      <c r="D160">
        <f>VLOOKUP(A160,Data!$A$3:$AF$30,26,FALSE)</f>
        <v>59</v>
      </c>
      <c r="E160">
        <f>VLOOKUP(A160,Data!$A$3:$AF$30,27,FALSE)</f>
        <v>41</v>
      </c>
    </row>
    <row r="161" spans="1:5" x14ac:dyDescent="0.3">
      <c r="A161" t="s">
        <v>19</v>
      </c>
      <c r="B161" t="s">
        <v>99</v>
      </c>
      <c r="C161" t="s">
        <v>100</v>
      </c>
      <c r="D161">
        <f>VLOOKUP(A161,Data!$A$3:$AF$30,26,FALSE)</f>
        <v>59</v>
      </c>
      <c r="E161">
        <f>VLOOKUP(A161,Data!$A$3:$AF$30,27,FALSE)</f>
        <v>41</v>
      </c>
    </row>
    <row r="162" spans="1:5" x14ac:dyDescent="0.3">
      <c r="A162" t="s">
        <v>19</v>
      </c>
      <c r="B162" t="s">
        <v>101</v>
      </c>
      <c r="C162" t="s">
        <v>113</v>
      </c>
      <c r="D162">
        <f>VLOOKUP(A162,Data!$A$3:$AF$30,26,FALSE)</f>
        <v>59</v>
      </c>
      <c r="E162">
        <f>VLOOKUP(A162,Data!$A$3:$AF$30,27,FALSE)</f>
        <v>41</v>
      </c>
    </row>
    <row r="163" spans="1:5" x14ac:dyDescent="0.3">
      <c r="A163" t="s">
        <v>19</v>
      </c>
      <c r="B163" t="s">
        <v>104</v>
      </c>
      <c r="C163" t="s">
        <v>136</v>
      </c>
      <c r="D163">
        <f>VLOOKUP(A163,Data!$A$3:$AF$30,26,FALSE)</f>
        <v>59</v>
      </c>
      <c r="E163">
        <f>VLOOKUP(A163,Data!$A$3:$AF$30,27,FALSE)</f>
        <v>41</v>
      </c>
    </row>
    <row r="164" spans="1:5" x14ac:dyDescent="0.3">
      <c r="A164" t="s">
        <v>19</v>
      </c>
      <c r="B164" t="s">
        <v>104</v>
      </c>
      <c r="C164" t="s">
        <v>129</v>
      </c>
      <c r="D164">
        <f>VLOOKUP(A164,Data!$A$3:$AF$30,26,FALSE)</f>
        <v>59</v>
      </c>
      <c r="E164">
        <f>VLOOKUP(A164,Data!$A$3:$AF$30,27,FALSE)</f>
        <v>41</v>
      </c>
    </row>
    <row r="165" spans="1:5" x14ac:dyDescent="0.3">
      <c r="A165" t="s">
        <v>19</v>
      </c>
      <c r="B165" t="s">
        <v>104</v>
      </c>
      <c r="C165" t="s">
        <v>158</v>
      </c>
      <c r="D165">
        <f>VLOOKUP(A165,Data!$A$3:$AF$30,26,FALSE)</f>
        <v>59</v>
      </c>
      <c r="E165">
        <f>VLOOKUP(A165,Data!$A$3:$AF$30,27,FALSE)</f>
        <v>41</v>
      </c>
    </row>
    <row r="166" spans="1:5" x14ac:dyDescent="0.3">
      <c r="A166" t="s">
        <v>19</v>
      </c>
      <c r="B166" t="s">
        <v>108</v>
      </c>
      <c r="C166" t="s">
        <v>82</v>
      </c>
      <c r="D166">
        <f>VLOOKUP(A166,Data!$A$3:$AF$30,26,FALSE)</f>
        <v>59</v>
      </c>
      <c r="E166">
        <f>VLOOKUP(A166,Data!$A$3:$AF$30,27,FALSE)</f>
        <v>41</v>
      </c>
    </row>
    <row r="167" spans="1:5" x14ac:dyDescent="0.3">
      <c r="A167" t="s">
        <v>19</v>
      </c>
      <c r="B167" t="s">
        <v>108</v>
      </c>
      <c r="C167" t="s">
        <v>159</v>
      </c>
      <c r="D167">
        <f>VLOOKUP(A167,Data!$A$3:$AF$30,26,FALSE)</f>
        <v>59</v>
      </c>
      <c r="E167">
        <f>VLOOKUP(A167,Data!$A$3:$AF$30,27,FALSE)</f>
        <v>41</v>
      </c>
    </row>
    <row r="168" spans="1:5" x14ac:dyDescent="0.3">
      <c r="A168" t="s">
        <v>19</v>
      </c>
      <c r="B168" t="s">
        <v>108</v>
      </c>
      <c r="C168" t="s">
        <v>146</v>
      </c>
      <c r="D168">
        <f>VLOOKUP(A168,Data!$A$3:$AF$30,26,FALSE)</f>
        <v>59</v>
      </c>
      <c r="E168">
        <f>VLOOKUP(A168,Data!$A$3:$AF$30,27,FALSE)</f>
        <v>41</v>
      </c>
    </row>
    <row r="169" spans="1:5" x14ac:dyDescent="0.3">
      <c r="A169" t="s">
        <v>19</v>
      </c>
      <c r="B169" t="s">
        <v>108</v>
      </c>
      <c r="C169" t="s">
        <v>160</v>
      </c>
      <c r="D169">
        <f>VLOOKUP(A169,Data!$A$3:$AF$30,26,FALSE)</f>
        <v>59</v>
      </c>
      <c r="E169">
        <f>VLOOKUP(A169,Data!$A$3:$AF$30,27,FALSE)</f>
        <v>41</v>
      </c>
    </row>
    <row r="170" spans="1:5" x14ac:dyDescent="0.3">
      <c r="A170" t="s">
        <v>20</v>
      </c>
      <c r="B170" t="s">
        <v>111</v>
      </c>
      <c r="C170" t="s">
        <v>161</v>
      </c>
      <c r="D170">
        <f>VLOOKUP(A170,Data!$A$3:$AF$30,26,FALSE)</f>
        <v>81</v>
      </c>
      <c r="E170">
        <f>VLOOKUP(A170,Data!$A$3:$AF$30,27,FALSE)</f>
        <v>48</v>
      </c>
    </row>
    <row r="171" spans="1:5" x14ac:dyDescent="0.3">
      <c r="A171" t="s">
        <v>20</v>
      </c>
      <c r="B171" t="s">
        <v>98</v>
      </c>
      <c r="C171" t="s">
        <v>76</v>
      </c>
      <c r="D171">
        <f>VLOOKUP(A171,Data!$A$3:$AF$30,26,FALSE)</f>
        <v>81</v>
      </c>
      <c r="E171">
        <f>VLOOKUP(A171,Data!$A$3:$AF$30,27,FALSE)</f>
        <v>48</v>
      </c>
    </row>
    <row r="172" spans="1:5" x14ac:dyDescent="0.3">
      <c r="A172" t="s">
        <v>20</v>
      </c>
      <c r="B172" t="s">
        <v>99</v>
      </c>
      <c r="C172" t="s">
        <v>131</v>
      </c>
      <c r="D172">
        <f>VLOOKUP(A172,Data!$A$3:$AF$30,26,FALSE)</f>
        <v>81</v>
      </c>
      <c r="E172">
        <f>VLOOKUP(A172,Data!$A$3:$AF$30,27,FALSE)</f>
        <v>48</v>
      </c>
    </row>
    <row r="173" spans="1:5" x14ac:dyDescent="0.3">
      <c r="A173" t="s">
        <v>20</v>
      </c>
      <c r="B173" t="s">
        <v>101</v>
      </c>
      <c r="C173" t="s">
        <v>112</v>
      </c>
      <c r="D173">
        <f>VLOOKUP(A173,Data!$A$3:$AF$30,26,FALSE)</f>
        <v>81</v>
      </c>
      <c r="E173">
        <f>VLOOKUP(A173,Data!$A$3:$AF$30,27,FALSE)</f>
        <v>48</v>
      </c>
    </row>
    <row r="174" spans="1:5" x14ac:dyDescent="0.3">
      <c r="A174" t="s">
        <v>20</v>
      </c>
      <c r="B174" t="s">
        <v>104</v>
      </c>
      <c r="C174" t="s">
        <v>162</v>
      </c>
      <c r="D174">
        <f>VLOOKUP(A174,Data!$A$3:$AF$30,26,FALSE)</f>
        <v>81</v>
      </c>
      <c r="E174">
        <f>VLOOKUP(A174,Data!$A$3:$AF$30,27,FALSE)</f>
        <v>48</v>
      </c>
    </row>
    <row r="175" spans="1:5" x14ac:dyDescent="0.3">
      <c r="A175" t="s">
        <v>20</v>
      </c>
      <c r="B175" t="s">
        <v>104</v>
      </c>
      <c r="C175" t="s">
        <v>161</v>
      </c>
      <c r="D175">
        <f>VLOOKUP(A175,Data!$A$3:$AF$30,26,FALSE)</f>
        <v>81</v>
      </c>
      <c r="E175">
        <f>VLOOKUP(A175,Data!$A$3:$AF$30,27,FALSE)</f>
        <v>48</v>
      </c>
    </row>
    <row r="176" spans="1:5" x14ac:dyDescent="0.3">
      <c r="A176" t="s">
        <v>20</v>
      </c>
      <c r="B176" t="s">
        <v>108</v>
      </c>
      <c r="C176" t="s">
        <v>162</v>
      </c>
      <c r="D176">
        <f>VLOOKUP(A176,Data!$A$3:$AF$30,26,FALSE)</f>
        <v>81</v>
      </c>
      <c r="E176">
        <f>VLOOKUP(A176,Data!$A$3:$AF$30,27,FALSE)</f>
        <v>48</v>
      </c>
    </row>
    <row r="177" spans="1:5" x14ac:dyDescent="0.3">
      <c r="A177" t="s">
        <v>20</v>
      </c>
      <c r="B177" t="s">
        <v>108</v>
      </c>
      <c r="C177" t="s">
        <v>163</v>
      </c>
      <c r="D177">
        <f>VLOOKUP(A177,Data!$A$3:$AF$30,26,FALSE)</f>
        <v>81</v>
      </c>
      <c r="E177">
        <f>VLOOKUP(A177,Data!$A$3:$AF$30,27,FALSE)</f>
        <v>48</v>
      </c>
    </row>
    <row r="178" spans="1:5" x14ac:dyDescent="0.3">
      <c r="A178" t="s">
        <v>20</v>
      </c>
      <c r="B178" t="s">
        <v>108</v>
      </c>
      <c r="C178" t="s">
        <v>161</v>
      </c>
      <c r="D178">
        <f>VLOOKUP(A178,Data!$A$3:$AF$30,26,FALSE)</f>
        <v>81</v>
      </c>
      <c r="E178">
        <f>VLOOKUP(A178,Data!$A$3:$AF$30,27,FALSE)</f>
        <v>48</v>
      </c>
    </row>
    <row r="179" spans="1:5" x14ac:dyDescent="0.3">
      <c r="A179" t="s">
        <v>20</v>
      </c>
      <c r="B179" t="s">
        <v>108</v>
      </c>
      <c r="C179" t="s">
        <v>76</v>
      </c>
      <c r="D179">
        <f>VLOOKUP(A179,Data!$A$3:$AF$30,26,FALSE)</f>
        <v>81</v>
      </c>
      <c r="E179">
        <f>VLOOKUP(A179,Data!$A$3:$AF$30,27,FALSE)</f>
        <v>48</v>
      </c>
    </row>
    <row r="180" spans="1:5" x14ac:dyDescent="0.3">
      <c r="A180" t="s">
        <v>21</v>
      </c>
      <c r="B180" t="s">
        <v>98</v>
      </c>
      <c r="C180" t="s">
        <v>71</v>
      </c>
      <c r="D180">
        <f>VLOOKUP(A180,Data!$A$3:$AF$30,26,FALSE)</f>
        <v>80</v>
      </c>
      <c r="E180">
        <f>VLOOKUP(A180,Data!$A$3:$AF$30,27,FALSE)</f>
        <v>51</v>
      </c>
    </row>
    <row r="181" spans="1:5" x14ac:dyDescent="0.3">
      <c r="A181" t="s">
        <v>21</v>
      </c>
      <c r="B181" t="s">
        <v>99</v>
      </c>
      <c r="C181" t="s">
        <v>131</v>
      </c>
      <c r="D181">
        <f>VLOOKUP(A181,Data!$A$3:$AF$30,26,FALSE)</f>
        <v>80</v>
      </c>
      <c r="E181">
        <f>VLOOKUP(A181,Data!$A$3:$AF$30,27,FALSE)</f>
        <v>51</v>
      </c>
    </row>
    <row r="182" spans="1:5" x14ac:dyDescent="0.3">
      <c r="A182" t="s">
        <v>21</v>
      </c>
      <c r="B182" t="s">
        <v>101</v>
      </c>
      <c r="C182" t="s">
        <v>164</v>
      </c>
      <c r="D182">
        <f>VLOOKUP(A182,Data!$A$3:$AF$30,26,FALSE)</f>
        <v>80</v>
      </c>
      <c r="E182">
        <f>VLOOKUP(A182,Data!$A$3:$AF$30,27,FALSE)</f>
        <v>51</v>
      </c>
    </row>
    <row r="183" spans="1:5" x14ac:dyDescent="0.3">
      <c r="A183" t="s">
        <v>21</v>
      </c>
      <c r="B183" t="s">
        <v>101</v>
      </c>
      <c r="C183" t="s">
        <v>132</v>
      </c>
      <c r="D183">
        <f>VLOOKUP(A183,Data!$A$3:$AF$30,26,FALSE)</f>
        <v>80</v>
      </c>
      <c r="E183">
        <f>VLOOKUP(A183,Data!$A$3:$AF$30,27,FALSE)</f>
        <v>51</v>
      </c>
    </row>
    <row r="184" spans="1:5" x14ac:dyDescent="0.3">
      <c r="A184" t="s">
        <v>21</v>
      </c>
      <c r="B184" t="s">
        <v>104</v>
      </c>
      <c r="C184" t="s">
        <v>71</v>
      </c>
      <c r="D184">
        <f>VLOOKUP(A184,Data!$A$3:$AF$30,26,FALSE)</f>
        <v>80</v>
      </c>
      <c r="E184">
        <f>VLOOKUP(A184,Data!$A$3:$AF$30,27,FALSE)</f>
        <v>51</v>
      </c>
    </row>
    <row r="185" spans="1:5" x14ac:dyDescent="0.3">
      <c r="A185" t="s">
        <v>21</v>
      </c>
      <c r="B185" t="s">
        <v>108</v>
      </c>
      <c r="C185" t="s">
        <v>71</v>
      </c>
      <c r="D185">
        <f>VLOOKUP(A185,Data!$A$3:$AF$30,26,FALSE)</f>
        <v>80</v>
      </c>
      <c r="E185">
        <f>VLOOKUP(A185,Data!$A$3:$AF$30,27,FALSE)</f>
        <v>51</v>
      </c>
    </row>
    <row r="186" spans="1:5" x14ac:dyDescent="0.3">
      <c r="A186" t="s">
        <v>22</v>
      </c>
      <c r="B186" t="s">
        <v>98</v>
      </c>
      <c r="C186" t="s">
        <v>84</v>
      </c>
      <c r="D186">
        <f>VLOOKUP(A186,Data!$A$3:$AF$30,26,FALSE)</f>
        <v>84</v>
      </c>
      <c r="E186">
        <f>VLOOKUP(A186,Data!$A$3:$AF$30,27,FALSE)</f>
        <v>57</v>
      </c>
    </row>
    <row r="187" spans="1:5" x14ac:dyDescent="0.3">
      <c r="A187" t="s">
        <v>22</v>
      </c>
      <c r="B187" t="s">
        <v>99</v>
      </c>
      <c r="C187" t="s">
        <v>100</v>
      </c>
      <c r="D187">
        <f>VLOOKUP(A187,Data!$A$3:$AF$30,26,FALSE)</f>
        <v>84</v>
      </c>
      <c r="E187">
        <f>VLOOKUP(A187,Data!$A$3:$AF$30,27,FALSE)</f>
        <v>57</v>
      </c>
    </row>
    <row r="188" spans="1:5" x14ac:dyDescent="0.3">
      <c r="A188" t="s">
        <v>22</v>
      </c>
      <c r="B188" t="s">
        <v>101</v>
      </c>
      <c r="C188" t="s">
        <v>165</v>
      </c>
      <c r="D188">
        <f>VLOOKUP(A188,Data!$A$3:$AF$30,26,FALSE)</f>
        <v>84</v>
      </c>
      <c r="E188">
        <f>VLOOKUP(A188,Data!$A$3:$AF$30,27,FALSE)</f>
        <v>57</v>
      </c>
    </row>
    <row r="189" spans="1:5" x14ac:dyDescent="0.3">
      <c r="A189" t="s">
        <v>22</v>
      </c>
      <c r="B189" t="s">
        <v>101</v>
      </c>
      <c r="C189" t="s">
        <v>142</v>
      </c>
      <c r="D189">
        <f>VLOOKUP(A189,Data!$A$3:$AF$30,26,FALSE)</f>
        <v>84</v>
      </c>
      <c r="E189">
        <f>VLOOKUP(A189,Data!$A$3:$AF$30,27,FALSE)</f>
        <v>57</v>
      </c>
    </row>
    <row r="190" spans="1:5" x14ac:dyDescent="0.3">
      <c r="A190" t="s">
        <v>22</v>
      </c>
      <c r="B190" t="s">
        <v>104</v>
      </c>
      <c r="C190" t="s">
        <v>166</v>
      </c>
      <c r="D190">
        <f>VLOOKUP(A190,Data!$A$3:$AF$30,26,FALSE)</f>
        <v>84</v>
      </c>
      <c r="E190">
        <f>VLOOKUP(A190,Data!$A$3:$AF$30,27,FALSE)</f>
        <v>57</v>
      </c>
    </row>
    <row r="191" spans="1:5" x14ac:dyDescent="0.3">
      <c r="A191" t="s">
        <v>22</v>
      </c>
      <c r="B191" t="s">
        <v>104</v>
      </c>
      <c r="C191" t="s">
        <v>74</v>
      </c>
      <c r="D191">
        <f>VLOOKUP(A191,Data!$A$3:$AF$30,26,FALSE)</f>
        <v>84</v>
      </c>
      <c r="E191">
        <f>VLOOKUP(A191,Data!$A$3:$AF$30,27,FALSE)</f>
        <v>57</v>
      </c>
    </row>
    <row r="192" spans="1:5" x14ac:dyDescent="0.3">
      <c r="A192" t="s">
        <v>22</v>
      </c>
      <c r="B192" t="s">
        <v>108</v>
      </c>
      <c r="C192" t="s">
        <v>84</v>
      </c>
      <c r="D192">
        <f>VLOOKUP(A192,Data!$A$3:$AF$30,26,FALSE)</f>
        <v>84</v>
      </c>
      <c r="E192">
        <f>VLOOKUP(A192,Data!$A$3:$AF$30,27,FALSE)</f>
        <v>57</v>
      </c>
    </row>
    <row r="193" spans="1:5" x14ac:dyDescent="0.3">
      <c r="A193" t="s">
        <v>22</v>
      </c>
      <c r="B193" t="s">
        <v>108</v>
      </c>
      <c r="C193" t="s">
        <v>166</v>
      </c>
      <c r="D193">
        <f>VLOOKUP(A193,Data!$A$3:$AF$30,26,FALSE)</f>
        <v>84</v>
      </c>
      <c r="E193">
        <f>VLOOKUP(A193,Data!$A$3:$AF$30,27,FALSE)</f>
        <v>57</v>
      </c>
    </row>
    <row r="194" spans="1:5" x14ac:dyDescent="0.3">
      <c r="A194" t="s">
        <v>22</v>
      </c>
      <c r="B194" t="s">
        <v>108</v>
      </c>
      <c r="C194" t="s">
        <v>167</v>
      </c>
      <c r="D194">
        <f>VLOOKUP(A194,Data!$A$3:$AF$30,26,FALSE)</f>
        <v>84</v>
      </c>
      <c r="E194">
        <f>VLOOKUP(A194,Data!$A$3:$AF$30,27,FALSE)</f>
        <v>57</v>
      </c>
    </row>
    <row r="195" spans="1:5" x14ac:dyDescent="0.3">
      <c r="A195" t="s">
        <v>22</v>
      </c>
      <c r="B195" t="s">
        <v>108</v>
      </c>
      <c r="C195" t="s">
        <v>168</v>
      </c>
      <c r="D195">
        <f>VLOOKUP(A195,Data!$A$3:$AF$30,26,FALSE)</f>
        <v>84</v>
      </c>
      <c r="E195">
        <f>VLOOKUP(A195,Data!$A$3:$AF$30,27,FALSE)</f>
        <v>57</v>
      </c>
    </row>
    <row r="196" spans="1:5" x14ac:dyDescent="0.3">
      <c r="A196" t="s">
        <v>22</v>
      </c>
      <c r="B196" t="s">
        <v>108</v>
      </c>
      <c r="C196" t="s">
        <v>169</v>
      </c>
      <c r="D196">
        <f>VLOOKUP(A196,Data!$A$3:$AF$30,26,FALSE)</f>
        <v>84</v>
      </c>
      <c r="E196">
        <f>VLOOKUP(A196,Data!$A$3:$AF$30,27,FALSE)</f>
        <v>57</v>
      </c>
    </row>
    <row r="197" spans="1:5" x14ac:dyDescent="0.3">
      <c r="A197" t="s">
        <v>22</v>
      </c>
      <c r="B197" t="s">
        <v>108</v>
      </c>
      <c r="C197" t="s">
        <v>66</v>
      </c>
      <c r="D197">
        <f>VLOOKUP(A197,Data!$A$3:$AF$30,26,FALSE)</f>
        <v>84</v>
      </c>
      <c r="E197">
        <f>VLOOKUP(A197,Data!$A$3:$AF$30,27,FALSE)</f>
        <v>57</v>
      </c>
    </row>
    <row r="198" spans="1:5" x14ac:dyDescent="0.3">
      <c r="A198" t="s">
        <v>22</v>
      </c>
      <c r="B198" t="s">
        <v>108</v>
      </c>
      <c r="C198" t="s">
        <v>170</v>
      </c>
      <c r="D198">
        <f>VLOOKUP(A198,Data!$A$3:$AF$30,26,FALSE)</f>
        <v>84</v>
      </c>
      <c r="E198">
        <f>VLOOKUP(A198,Data!$A$3:$AF$30,27,FALSE)</f>
        <v>57</v>
      </c>
    </row>
    <row r="199" spans="1:5" x14ac:dyDescent="0.3">
      <c r="A199" t="s">
        <v>22</v>
      </c>
      <c r="B199" t="s">
        <v>108</v>
      </c>
      <c r="C199" t="s">
        <v>74</v>
      </c>
      <c r="D199">
        <f>VLOOKUP(A199,Data!$A$3:$AF$30,26,FALSE)</f>
        <v>84</v>
      </c>
      <c r="E199">
        <f>VLOOKUP(A199,Data!$A$3:$AF$30,27,FALSE)</f>
        <v>57</v>
      </c>
    </row>
    <row r="200" spans="1:5" x14ac:dyDescent="0.3">
      <c r="A200" t="s">
        <v>23</v>
      </c>
      <c r="B200" t="s">
        <v>98</v>
      </c>
      <c r="C200" t="s">
        <v>78</v>
      </c>
      <c r="D200">
        <f>VLOOKUP(A200,Data!$A$3:$AF$30,26,FALSE)</f>
        <v>64</v>
      </c>
      <c r="E200">
        <f>VLOOKUP(A200,Data!$A$3:$AF$30,27,FALSE)</f>
        <v>56</v>
      </c>
    </row>
    <row r="201" spans="1:5" x14ac:dyDescent="0.3">
      <c r="A201" t="s">
        <v>23</v>
      </c>
      <c r="B201" t="s">
        <v>99</v>
      </c>
      <c r="C201" t="s">
        <v>153</v>
      </c>
      <c r="D201">
        <f>VLOOKUP(A201,Data!$A$3:$AF$30,26,FALSE)</f>
        <v>64</v>
      </c>
      <c r="E201">
        <f>VLOOKUP(A201,Data!$A$3:$AF$30,27,FALSE)</f>
        <v>56</v>
      </c>
    </row>
    <row r="202" spans="1:5" x14ac:dyDescent="0.3">
      <c r="A202" t="s">
        <v>23</v>
      </c>
      <c r="B202" t="s">
        <v>99</v>
      </c>
      <c r="C202" t="s">
        <v>154</v>
      </c>
      <c r="D202">
        <f>VLOOKUP(A202,Data!$A$3:$AF$30,26,FALSE)</f>
        <v>64</v>
      </c>
      <c r="E202">
        <f>VLOOKUP(A202,Data!$A$3:$AF$30,27,FALSE)</f>
        <v>56</v>
      </c>
    </row>
    <row r="203" spans="1:5" x14ac:dyDescent="0.3">
      <c r="A203" t="s">
        <v>23</v>
      </c>
      <c r="B203" t="s">
        <v>101</v>
      </c>
      <c r="C203" t="s">
        <v>148</v>
      </c>
      <c r="D203">
        <f>VLOOKUP(A203,Data!$A$3:$AF$30,26,FALSE)</f>
        <v>64</v>
      </c>
      <c r="E203">
        <f>VLOOKUP(A203,Data!$A$3:$AF$30,27,FALSE)</f>
        <v>56</v>
      </c>
    </row>
    <row r="204" spans="1:5" x14ac:dyDescent="0.3">
      <c r="A204" t="s">
        <v>23</v>
      </c>
      <c r="B204" t="s">
        <v>104</v>
      </c>
      <c r="C204" t="s">
        <v>171</v>
      </c>
      <c r="D204">
        <f>VLOOKUP(A204,Data!$A$3:$AF$30,26,FALSE)</f>
        <v>64</v>
      </c>
      <c r="E204">
        <f>VLOOKUP(A204,Data!$A$3:$AF$30,27,FALSE)</f>
        <v>56</v>
      </c>
    </row>
    <row r="205" spans="1:5" x14ac:dyDescent="0.3">
      <c r="A205" t="s">
        <v>23</v>
      </c>
      <c r="B205" t="s">
        <v>104</v>
      </c>
      <c r="C205" t="s">
        <v>172</v>
      </c>
      <c r="D205">
        <f>VLOOKUP(A205,Data!$A$3:$AF$30,26,FALSE)</f>
        <v>64</v>
      </c>
      <c r="E205">
        <f>VLOOKUP(A205,Data!$A$3:$AF$30,27,FALSE)</f>
        <v>56</v>
      </c>
    </row>
    <row r="206" spans="1:5" x14ac:dyDescent="0.3">
      <c r="A206" t="s">
        <v>23</v>
      </c>
      <c r="B206" t="s">
        <v>104</v>
      </c>
      <c r="C206" t="s">
        <v>78</v>
      </c>
      <c r="D206">
        <f>VLOOKUP(A206,Data!$A$3:$AF$30,26,FALSE)</f>
        <v>64</v>
      </c>
      <c r="E206">
        <f>VLOOKUP(A206,Data!$A$3:$AF$30,27,FALSE)</f>
        <v>56</v>
      </c>
    </row>
    <row r="207" spans="1:5" x14ac:dyDescent="0.3">
      <c r="A207" t="s">
        <v>23</v>
      </c>
      <c r="B207" t="s">
        <v>108</v>
      </c>
      <c r="C207" t="s">
        <v>171</v>
      </c>
      <c r="D207">
        <f>VLOOKUP(A207,Data!$A$3:$AF$30,26,FALSE)</f>
        <v>64</v>
      </c>
      <c r="E207">
        <f>VLOOKUP(A207,Data!$A$3:$AF$30,27,FALSE)</f>
        <v>56</v>
      </c>
    </row>
    <row r="208" spans="1:5" x14ac:dyDescent="0.3">
      <c r="A208" t="s">
        <v>23</v>
      </c>
      <c r="B208" t="s">
        <v>108</v>
      </c>
      <c r="C208" t="s">
        <v>172</v>
      </c>
      <c r="D208">
        <f>VLOOKUP(A208,Data!$A$3:$AF$30,26,FALSE)</f>
        <v>64</v>
      </c>
      <c r="E208">
        <f>VLOOKUP(A208,Data!$A$3:$AF$30,27,FALSE)</f>
        <v>56</v>
      </c>
    </row>
    <row r="209" spans="1:5" x14ac:dyDescent="0.3">
      <c r="A209" t="s">
        <v>23</v>
      </c>
      <c r="B209" t="s">
        <v>108</v>
      </c>
      <c r="C209" t="s">
        <v>78</v>
      </c>
      <c r="D209">
        <f>VLOOKUP(A209,Data!$A$3:$AF$30,26,FALSE)</f>
        <v>64</v>
      </c>
      <c r="E209">
        <f>VLOOKUP(A209,Data!$A$3:$AF$30,27,FALSE)</f>
        <v>56</v>
      </c>
    </row>
    <row r="210" spans="1:5" x14ac:dyDescent="0.3">
      <c r="A210" t="s">
        <v>24</v>
      </c>
      <c r="B210" t="s">
        <v>111</v>
      </c>
      <c r="C210" t="s">
        <v>173</v>
      </c>
      <c r="D210">
        <f>VLOOKUP(A210,Data!$A$3:$AF$30,26,FALSE)</f>
        <v>83</v>
      </c>
      <c r="E210">
        <f>VLOOKUP(A210,Data!$A$3:$AF$30,27,FALSE)</f>
        <v>55</v>
      </c>
    </row>
    <row r="211" spans="1:5" x14ac:dyDescent="0.3">
      <c r="A211" t="s">
        <v>24</v>
      </c>
      <c r="B211" t="s">
        <v>98</v>
      </c>
      <c r="C211" t="s">
        <v>109</v>
      </c>
      <c r="D211">
        <f>VLOOKUP(A211,Data!$A$3:$AF$30,26,FALSE)</f>
        <v>83</v>
      </c>
      <c r="E211">
        <f>VLOOKUP(A211,Data!$A$3:$AF$30,27,FALSE)</f>
        <v>55</v>
      </c>
    </row>
    <row r="212" spans="1:5" x14ac:dyDescent="0.3">
      <c r="A212" t="s">
        <v>24</v>
      </c>
      <c r="B212" t="s">
        <v>99</v>
      </c>
      <c r="C212" t="s">
        <v>174</v>
      </c>
      <c r="D212">
        <f>VLOOKUP(A212,Data!$A$3:$AF$30,26,FALSE)</f>
        <v>83</v>
      </c>
      <c r="E212">
        <f>VLOOKUP(A212,Data!$A$3:$AF$30,27,FALSE)</f>
        <v>55</v>
      </c>
    </row>
    <row r="213" spans="1:5" x14ac:dyDescent="0.3">
      <c r="A213" t="s">
        <v>24</v>
      </c>
      <c r="B213" t="s">
        <v>99</v>
      </c>
      <c r="C213" t="s">
        <v>175</v>
      </c>
      <c r="D213">
        <f>VLOOKUP(A213,Data!$A$3:$AF$30,26,FALSE)</f>
        <v>83</v>
      </c>
      <c r="E213">
        <f>VLOOKUP(A213,Data!$A$3:$AF$30,27,FALSE)</f>
        <v>55</v>
      </c>
    </row>
    <row r="214" spans="1:5" x14ac:dyDescent="0.3">
      <c r="A214" t="s">
        <v>24</v>
      </c>
      <c r="B214" t="s">
        <v>101</v>
      </c>
      <c r="C214" t="s">
        <v>176</v>
      </c>
      <c r="D214">
        <f>VLOOKUP(A214,Data!$A$3:$AF$30,26,FALSE)</f>
        <v>83</v>
      </c>
      <c r="E214">
        <f>VLOOKUP(A214,Data!$A$3:$AF$30,27,FALSE)</f>
        <v>55</v>
      </c>
    </row>
    <row r="215" spans="1:5" x14ac:dyDescent="0.3">
      <c r="A215" t="s">
        <v>24</v>
      </c>
      <c r="B215" t="s">
        <v>104</v>
      </c>
      <c r="C215" t="s">
        <v>109</v>
      </c>
      <c r="D215">
        <f>VLOOKUP(A215,Data!$A$3:$AF$30,26,FALSE)</f>
        <v>83</v>
      </c>
      <c r="E215">
        <f>VLOOKUP(A215,Data!$A$3:$AF$30,27,FALSE)</f>
        <v>55</v>
      </c>
    </row>
    <row r="216" spans="1:5" x14ac:dyDescent="0.3">
      <c r="A216" t="s">
        <v>24</v>
      </c>
      <c r="B216" t="s">
        <v>104</v>
      </c>
      <c r="C216" t="s">
        <v>177</v>
      </c>
      <c r="D216">
        <f>VLOOKUP(A216,Data!$A$3:$AF$30,26,FALSE)</f>
        <v>83</v>
      </c>
      <c r="E216">
        <f>VLOOKUP(A216,Data!$A$3:$AF$30,27,FALSE)</f>
        <v>55</v>
      </c>
    </row>
    <row r="217" spans="1:5" x14ac:dyDescent="0.3">
      <c r="A217" t="s">
        <v>24</v>
      </c>
      <c r="B217" t="s">
        <v>104</v>
      </c>
      <c r="C217" t="s">
        <v>173</v>
      </c>
      <c r="D217">
        <f>VLOOKUP(A217,Data!$A$3:$AF$30,26,FALSE)</f>
        <v>83</v>
      </c>
      <c r="E217">
        <f>VLOOKUP(A217,Data!$A$3:$AF$30,27,FALSE)</f>
        <v>55</v>
      </c>
    </row>
    <row r="218" spans="1:5" x14ac:dyDescent="0.3">
      <c r="A218" t="s">
        <v>24</v>
      </c>
      <c r="B218" t="s">
        <v>108</v>
      </c>
      <c r="C218" t="s">
        <v>109</v>
      </c>
      <c r="D218">
        <f>VLOOKUP(A218,Data!$A$3:$AF$30,26,FALSE)</f>
        <v>83</v>
      </c>
      <c r="E218">
        <f>VLOOKUP(A218,Data!$A$3:$AF$30,27,FALSE)</f>
        <v>55</v>
      </c>
    </row>
    <row r="219" spans="1:5" x14ac:dyDescent="0.3">
      <c r="A219" t="s">
        <v>24</v>
      </c>
      <c r="B219" t="s">
        <v>108</v>
      </c>
      <c r="C219" t="s">
        <v>177</v>
      </c>
      <c r="D219">
        <f>VLOOKUP(A219,Data!$A$3:$AF$30,26,FALSE)</f>
        <v>83</v>
      </c>
      <c r="E219">
        <f>VLOOKUP(A219,Data!$A$3:$AF$30,27,FALSE)</f>
        <v>55</v>
      </c>
    </row>
    <row r="220" spans="1:5" x14ac:dyDescent="0.3">
      <c r="A220" t="s">
        <v>24</v>
      </c>
      <c r="B220" t="s">
        <v>108</v>
      </c>
      <c r="C220" t="s">
        <v>173</v>
      </c>
      <c r="D220">
        <f>VLOOKUP(A220,Data!$A$3:$AF$30,26,FALSE)</f>
        <v>83</v>
      </c>
      <c r="E220">
        <f>VLOOKUP(A220,Data!$A$3:$AF$30,27,FALSE)</f>
        <v>55</v>
      </c>
    </row>
    <row r="221" spans="1:5" x14ac:dyDescent="0.3">
      <c r="A221" t="s">
        <v>25</v>
      </c>
      <c r="B221" t="s">
        <v>98</v>
      </c>
      <c r="C221" t="s">
        <v>86</v>
      </c>
      <c r="D221">
        <f>VLOOKUP(A221,Data!$A$3:$AF$30,26,FALSE)</f>
        <v>71</v>
      </c>
      <c r="E221">
        <f>VLOOKUP(A221,Data!$A$3:$AF$30,27,FALSE)</f>
        <v>52</v>
      </c>
    </row>
    <row r="222" spans="1:5" x14ac:dyDescent="0.3">
      <c r="A222" t="s">
        <v>25</v>
      </c>
      <c r="B222" t="s">
        <v>99</v>
      </c>
      <c r="C222" t="s">
        <v>86</v>
      </c>
      <c r="D222">
        <f>VLOOKUP(A222,Data!$A$3:$AF$30,26,FALSE)</f>
        <v>71</v>
      </c>
      <c r="E222">
        <f>VLOOKUP(A222,Data!$A$3:$AF$30,27,FALSE)</f>
        <v>52</v>
      </c>
    </row>
    <row r="223" spans="1:5" x14ac:dyDescent="0.3">
      <c r="A223" t="s">
        <v>25</v>
      </c>
      <c r="B223" t="s">
        <v>101</v>
      </c>
      <c r="C223" t="s">
        <v>86</v>
      </c>
      <c r="D223">
        <f>VLOOKUP(A223,Data!$A$3:$AF$30,26,FALSE)</f>
        <v>71</v>
      </c>
      <c r="E223">
        <f>VLOOKUP(A223,Data!$A$3:$AF$30,27,FALSE)</f>
        <v>52</v>
      </c>
    </row>
    <row r="224" spans="1:5" x14ac:dyDescent="0.3">
      <c r="A224" t="s">
        <v>25</v>
      </c>
      <c r="B224" t="s">
        <v>104</v>
      </c>
      <c r="C224" t="s">
        <v>86</v>
      </c>
      <c r="D224">
        <f>VLOOKUP(A224,Data!$A$3:$AF$30,26,FALSE)</f>
        <v>71</v>
      </c>
      <c r="E224">
        <f>VLOOKUP(A224,Data!$A$3:$AF$30,27,FALSE)</f>
        <v>52</v>
      </c>
    </row>
    <row r="225" spans="1:5" x14ac:dyDescent="0.3">
      <c r="A225" t="s">
        <v>25</v>
      </c>
      <c r="B225" t="s">
        <v>104</v>
      </c>
      <c r="C225" t="s">
        <v>86</v>
      </c>
      <c r="D225">
        <f>VLOOKUP(A225,Data!$A$3:$AF$30,26,FALSE)</f>
        <v>71</v>
      </c>
      <c r="E225">
        <f>VLOOKUP(A225,Data!$A$3:$AF$30,27,FALSE)</f>
        <v>52</v>
      </c>
    </row>
    <row r="226" spans="1:5" x14ac:dyDescent="0.3">
      <c r="A226" t="s">
        <v>25</v>
      </c>
      <c r="B226" t="s">
        <v>108</v>
      </c>
      <c r="C226" t="s">
        <v>86</v>
      </c>
      <c r="D226">
        <f>VLOOKUP(A226,Data!$A$3:$AF$30,26,FALSE)</f>
        <v>71</v>
      </c>
      <c r="E226">
        <f>VLOOKUP(A226,Data!$A$3:$AF$30,27,FALSE)</f>
        <v>52</v>
      </c>
    </row>
    <row r="227" spans="1:5" x14ac:dyDescent="0.3">
      <c r="A227" t="s">
        <v>25</v>
      </c>
      <c r="B227" t="s">
        <v>108</v>
      </c>
      <c r="C227" t="s">
        <v>86</v>
      </c>
      <c r="D227">
        <f>VLOOKUP(A227,Data!$A$3:$AF$30,26,FALSE)</f>
        <v>71</v>
      </c>
      <c r="E227">
        <f>VLOOKUP(A227,Data!$A$3:$AF$30,27,FALSE)</f>
        <v>52</v>
      </c>
    </row>
    <row r="228" spans="1:5" x14ac:dyDescent="0.3">
      <c r="A228" t="s">
        <v>25</v>
      </c>
      <c r="B228" t="s">
        <v>108</v>
      </c>
      <c r="C228" t="s">
        <v>86</v>
      </c>
      <c r="D228">
        <f>VLOOKUP(A228,Data!$A$3:$AF$30,26,FALSE)</f>
        <v>71</v>
      </c>
      <c r="E228">
        <f>VLOOKUP(A228,Data!$A$3:$AF$30,27,FALSE)</f>
        <v>52</v>
      </c>
    </row>
    <row r="229" spans="1:5" x14ac:dyDescent="0.3">
      <c r="A229" t="s">
        <v>26</v>
      </c>
      <c r="B229" t="s">
        <v>98</v>
      </c>
      <c r="C229" t="s">
        <v>87</v>
      </c>
      <c r="D229">
        <f>VLOOKUP(A229,Data!$A$3:$AF$30,26,FALSE)</f>
        <v>83</v>
      </c>
      <c r="E229">
        <f>VLOOKUP(A229,Data!$A$3:$AF$30,27,FALSE)</f>
        <v>52</v>
      </c>
    </row>
    <row r="230" spans="1:5" x14ac:dyDescent="0.3">
      <c r="A230" t="s">
        <v>26</v>
      </c>
      <c r="B230" t="s">
        <v>99</v>
      </c>
      <c r="C230" t="s">
        <v>178</v>
      </c>
      <c r="D230">
        <f>VLOOKUP(A230,Data!$A$3:$AF$30,26,FALSE)</f>
        <v>83</v>
      </c>
      <c r="E230">
        <f>VLOOKUP(A230,Data!$A$3:$AF$30,27,FALSE)</f>
        <v>52</v>
      </c>
    </row>
    <row r="231" spans="1:5" x14ac:dyDescent="0.3">
      <c r="A231" t="s">
        <v>26</v>
      </c>
      <c r="B231" t="s">
        <v>101</v>
      </c>
      <c r="C231" t="s">
        <v>156</v>
      </c>
      <c r="D231">
        <f>VLOOKUP(A231,Data!$A$3:$AF$30,26,FALSE)</f>
        <v>83</v>
      </c>
      <c r="E231">
        <f>VLOOKUP(A231,Data!$A$3:$AF$30,27,FALSE)</f>
        <v>52</v>
      </c>
    </row>
    <row r="232" spans="1:5" x14ac:dyDescent="0.3">
      <c r="A232" t="s">
        <v>26</v>
      </c>
      <c r="B232" t="s">
        <v>104</v>
      </c>
      <c r="C232" t="s">
        <v>179</v>
      </c>
      <c r="D232">
        <f>VLOOKUP(A232,Data!$A$3:$AF$30,26,FALSE)</f>
        <v>83</v>
      </c>
      <c r="E232">
        <f>VLOOKUP(A232,Data!$A$3:$AF$30,27,FALSE)</f>
        <v>52</v>
      </c>
    </row>
    <row r="233" spans="1:5" x14ac:dyDescent="0.3">
      <c r="A233" t="s">
        <v>26</v>
      </c>
      <c r="B233" t="s">
        <v>104</v>
      </c>
      <c r="C233" t="s">
        <v>87</v>
      </c>
      <c r="D233">
        <f>VLOOKUP(A233,Data!$A$3:$AF$30,26,FALSE)</f>
        <v>83</v>
      </c>
      <c r="E233">
        <f>VLOOKUP(A233,Data!$A$3:$AF$30,27,FALSE)</f>
        <v>52</v>
      </c>
    </row>
    <row r="234" spans="1:5" x14ac:dyDescent="0.3">
      <c r="A234" t="s">
        <v>26</v>
      </c>
      <c r="B234" t="s">
        <v>108</v>
      </c>
      <c r="C234" t="s">
        <v>179</v>
      </c>
      <c r="D234">
        <f>VLOOKUP(A234,Data!$A$3:$AF$30,26,FALSE)</f>
        <v>83</v>
      </c>
      <c r="E234">
        <f>VLOOKUP(A234,Data!$A$3:$AF$30,27,FALSE)</f>
        <v>52</v>
      </c>
    </row>
    <row r="235" spans="1:5" x14ac:dyDescent="0.3">
      <c r="A235" t="s">
        <v>26</v>
      </c>
      <c r="B235" t="s">
        <v>108</v>
      </c>
      <c r="C235" t="s">
        <v>87</v>
      </c>
      <c r="D235">
        <f>VLOOKUP(A235,Data!$A$3:$AF$30,26,FALSE)</f>
        <v>83</v>
      </c>
      <c r="E235">
        <f>VLOOKUP(A235,Data!$A$3:$AF$30,27,FALSE)</f>
        <v>52</v>
      </c>
    </row>
    <row r="236" spans="1:5" x14ac:dyDescent="0.3">
      <c r="A236" t="s">
        <v>26</v>
      </c>
      <c r="B236" t="s">
        <v>108</v>
      </c>
      <c r="C236" t="s">
        <v>180</v>
      </c>
      <c r="D236">
        <f>VLOOKUP(A236,Data!$A$3:$AF$30,26,FALSE)</f>
        <v>83</v>
      </c>
      <c r="E236">
        <f>VLOOKUP(A236,Data!$A$3:$AF$30,27,FALSE)</f>
        <v>52</v>
      </c>
    </row>
    <row r="237" spans="1:5" x14ac:dyDescent="0.3">
      <c r="A237" t="s">
        <v>27</v>
      </c>
      <c r="B237" t="s">
        <v>98</v>
      </c>
      <c r="C237" t="s">
        <v>88</v>
      </c>
      <c r="D237">
        <f>VLOOKUP(A237,Data!$A$3:$AF$30,26,FALSE)</f>
        <v>60</v>
      </c>
      <c r="E237">
        <f>VLOOKUP(A237,Data!$A$3:$AF$30,27,FALSE)</f>
        <v>57</v>
      </c>
    </row>
    <row r="238" spans="1:5" x14ac:dyDescent="0.3">
      <c r="A238" t="s">
        <v>27</v>
      </c>
      <c r="B238" t="s">
        <v>99</v>
      </c>
      <c r="C238" t="s">
        <v>131</v>
      </c>
      <c r="D238">
        <f>VLOOKUP(A238,Data!$A$3:$AF$30,26,FALSE)</f>
        <v>60</v>
      </c>
      <c r="E238">
        <f>VLOOKUP(A238,Data!$A$3:$AF$30,27,FALSE)</f>
        <v>57</v>
      </c>
    </row>
    <row r="239" spans="1:5" x14ac:dyDescent="0.3">
      <c r="A239" t="s">
        <v>27</v>
      </c>
      <c r="B239" t="s">
        <v>101</v>
      </c>
      <c r="C239" t="s">
        <v>181</v>
      </c>
      <c r="D239">
        <f>VLOOKUP(A239,Data!$A$3:$AF$30,26,FALSE)</f>
        <v>60</v>
      </c>
      <c r="E239">
        <f>VLOOKUP(A239,Data!$A$3:$AF$30,27,FALSE)</f>
        <v>57</v>
      </c>
    </row>
    <row r="240" spans="1:5" x14ac:dyDescent="0.3">
      <c r="A240" t="s">
        <v>27</v>
      </c>
      <c r="B240" t="s">
        <v>104</v>
      </c>
      <c r="C240" t="s">
        <v>172</v>
      </c>
      <c r="D240">
        <f>VLOOKUP(A240,Data!$A$3:$AF$30,26,FALSE)</f>
        <v>60</v>
      </c>
      <c r="E240">
        <f>VLOOKUP(A240,Data!$A$3:$AF$30,27,FALSE)</f>
        <v>57</v>
      </c>
    </row>
    <row r="241" spans="1:5" x14ac:dyDescent="0.3">
      <c r="A241" t="s">
        <v>27</v>
      </c>
      <c r="B241" t="s">
        <v>104</v>
      </c>
      <c r="C241" t="s">
        <v>88</v>
      </c>
      <c r="D241">
        <f>VLOOKUP(A241,Data!$A$3:$AF$30,26,FALSE)</f>
        <v>60</v>
      </c>
      <c r="E241">
        <f>VLOOKUP(A241,Data!$A$3:$AF$30,27,FALSE)</f>
        <v>57</v>
      </c>
    </row>
    <row r="242" spans="1:5" x14ac:dyDescent="0.3">
      <c r="A242" t="s">
        <v>27</v>
      </c>
      <c r="B242" t="s">
        <v>108</v>
      </c>
      <c r="C242" t="s">
        <v>162</v>
      </c>
      <c r="D242">
        <f>VLOOKUP(A242,Data!$A$3:$AF$30,26,FALSE)</f>
        <v>60</v>
      </c>
      <c r="E242">
        <f>VLOOKUP(A242,Data!$A$3:$AF$30,27,FALSE)</f>
        <v>57</v>
      </c>
    </row>
    <row r="243" spans="1:5" x14ac:dyDescent="0.3">
      <c r="A243" t="s">
        <v>27</v>
      </c>
      <c r="B243" t="s">
        <v>108</v>
      </c>
      <c r="C243" t="s">
        <v>172</v>
      </c>
      <c r="D243">
        <f>VLOOKUP(A243,Data!$A$3:$AF$30,26,FALSE)</f>
        <v>60</v>
      </c>
      <c r="E243">
        <f>VLOOKUP(A243,Data!$A$3:$AF$30,27,FALSE)</f>
        <v>57</v>
      </c>
    </row>
    <row r="244" spans="1:5" x14ac:dyDescent="0.3">
      <c r="A244" t="s">
        <v>27</v>
      </c>
      <c r="B244" t="s">
        <v>108</v>
      </c>
      <c r="C244" t="s">
        <v>88</v>
      </c>
      <c r="D244">
        <f>VLOOKUP(A244,Data!$A$3:$AF$30,26,FALSE)</f>
        <v>60</v>
      </c>
      <c r="E244">
        <f>VLOOKUP(A244,Data!$A$3:$AF$30,27,FALSE)</f>
        <v>57</v>
      </c>
    </row>
    <row r="245" spans="1:5" x14ac:dyDescent="0.3">
      <c r="A245" t="s">
        <v>28</v>
      </c>
      <c r="B245" t="s">
        <v>98</v>
      </c>
      <c r="C245" t="s">
        <v>80</v>
      </c>
      <c r="D245">
        <f>VLOOKUP(A245,Data!$A$3:$AF$30,26,FALSE)</f>
        <v>58</v>
      </c>
      <c r="E245">
        <f>VLOOKUP(A245,Data!$A$3:$AF$30,27,FALSE)</f>
        <v>45</v>
      </c>
    </row>
    <row r="246" spans="1:5" x14ac:dyDescent="0.3">
      <c r="A246" t="s">
        <v>28</v>
      </c>
      <c r="B246" t="s">
        <v>99</v>
      </c>
      <c r="C246" t="s">
        <v>127</v>
      </c>
      <c r="D246">
        <f>VLOOKUP(A246,Data!$A$3:$AF$30,26,FALSE)</f>
        <v>58</v>
      </c>
      <c r="E246">
        <f>VLOOKUP(A246,Data!$A$3:$AF$30,27,FALSE)</f>
        <v>45</v>
      </c>
    </row>
    <row r="247" spans="1:5" x14ac:dyDescent="0.3">
      <c r="A247" t="s">
        <v>28</v>
      </c>
      <c r="B247" t="s">
        <v>101</v>
      </c>
      <c r="C247" t="s">
        <v>145</v>
      </c>
      <c r="D247">
        <f>VLOOKUP(A247,Data!$A$3:$AF$30,26,FALSE)</f>
        <v>58</v>
      </c>
      <c r="E247">
        <f>VLOOKUP(A247,Data!$A$3:$AF$30,27,FALSE)</f>
        <v>45</v>
      </c>
    </row>
    <row r="248" spans="1:5" x14ac:dyDescent="0.3">
      <c r="A248" t="s">
        <v>28</v>
      </c>
      <c r="B248" t="s">
        <v>104</v>
      </c>
      <c r="C248" t="s">
        <v>182</v>
      </c>
      <c r="D248">
        <f>VLOOKUP(A248,Data!$A$3:$AF$30,26,FALSE)</f>
        <v>58</v>
      </c>
      <c r="E248">
        <f>VLOOKUP(A248,Data!$A$3:$AF$30,27,FALSE)</f>
        <v>45</v>
      </c>
    </row>
    <row r="249" spans="1:5" x14ac:dyDescent="0.3">
      <c r="A249" t="s">
        <v>28</v>
      </c>
      <c r="B249" t="s">
        <v>104</v>
      </c>
      <c r="C249" t="s">
        <v>183</v>
      </c>
      <c r="D249">
        <f>VLOOKUP(A249,Data!$A$3:$AF$30,26,FALSE)</f>
        <v>58</v>
      </c>
      <c r="E249">
        <f>VLOOKUP(A249,Data!$A$3:$AF$30,27,FALSE)</f>
        <v>45</v>
      </c>
    </row>
    <row r="250" spans="1:5" x14ac:dyDescent="0.3">
      <c r="A250" t="s">
        <v>28</v>
      </c>
      <c r="B250" t="s">
        <v>104</v>
      </c>
      <c r="C250" t="s">
        <v>184</v>
      </c>
      <c r="D250">
        <f>VLOOKUP(A250,Data!$A$3:$AF$30,26,FALSE)</f>
        <v>58</v>
      </c>
      <c r="E250">
        <f>VLOOKUP(A250,Data!$A$3:$AF$30,27,FALSE)</f>
        <v>45</v>
      </c>
    </row>
    <row r="251" spans="1:5" x14ac:dyDescent="0.3">
      <c r="A251" t="s">
        <v>28</v>
      </c>
      <c r="B251" t="s">
        <v>108</v>
      </c>
      <c r="C251" t="s">
        <v>182</v>
      </c>
      <c r="D251">
        <f>VLOOKUP(A251,Data!$A$3:$AF$30,26,FALSE)</f>
        <v>58</v>
      </c>
      <c r="E251">
        <f>VLOOKUP(A251,Data!$A$3:$AF$30,27,FALSE)</f>
        <v>45</v>
      </c>
    </row>
    <row r="252" spans="1:5" x14ac:dyDescent="0.3">
      <c r="A252" t="s">
        <v>28</v>
      </c>
      <c r="B252" t="s">
        <v>108</v>
      </c>
      <c r="C252" t="s">
        <v>183</v>
      </c>
      <c r="D252">
        <f>VLOOKUP(A252,Data!$A$3:$AF$30,26,FALSE)</f>
        <v>58</v>
      </c>
      <c r="E252">
        <f>VLOOKUP(A252,Data!$A$3:$AF$30,27,FALSE)</f>
        <v>45</v>
      </c>
    </row>
    <row r="253" spans="1:5" x14ac:dyDescent="0.3">
      <c r="A253" t="s">
        <v>28</v>
      </c>
      <c r="B253" t="s">
        <v>108</v>
      </c>
      <c r="C253" t="s">
        <v>184</v>
      </c>
      <c r="D253">
        <f>VLOOKUP(A253,Data!$A$3:$AF$30,26,FALSE)</f>
        <v>58</v>
      </c>
      <c r="E253">
        <f>VLOOKUP(A253,Data!$A$3:$AF$30,27,FALSE)</f>
        <v>45</v>
      </c>
    </row>
    <row r="254" spans="1:5" x14ac:dyDescent="0.3">
      <c r="A254" t="s">
        <v>28</v>
      </c>
      <c r="B254" t="s">
        <v>108</v>
      </c>
      <c r="C254" t="s">
        <v>80</v>
      </c>
      <c r="D254">
        <f>VLOOKUP(A254,Data!$A$3:$AF$30,26,FALSE)</f>
        <v>58</v>
      </c>
      <c r="E254">
        <f>VLOOKUP(A254,Data!$A$3:$AF$30,27,FALSE)</f>
        <v>45</v>
      </c>
    </row>
    <row r="255" spans="1:5" x14ac:dyDescent="0.3">
      <c r="A255" t="s">
        <v>29</v>
      </c>
      <c r="B255" t="s">
        <v>98</v>
      </c>
      <c r="C255" t="s">
        <v>89</v>
      </c>
      <c r="D255">
        <f>VLOOKUP(A255,Data!$A$3:$AF$30,26,FALSE)</f>
        <v>73</v>
      </c>
      <c r="E255">
        <f>VLOOKUP(A255,Data!$A$3:$AF$30,27,FALSE)</f>
        <v>59</v>
      </c>
    </row>
    <row r="256" spans="1:5" x14ac:dyDescent="0.3">
      <c r="A256" t="s">
        <v>29</v>
      </c>
      <c r="B256" t="s">
        <v>99</v>
      </c>
      <c r="C256" t="s">
        <v>185</v>
      </c>
      <c r="D256">
        <f>VLOOKUP(A256,Data!$A$3:$AF$30,26,FALSE)</f>
        <v>73</v>
      </c>
      <c r="E256">
        <f>VLOOKUP(A256,Data!$A$3:$AF$30,27,FALSE)</f>
        <v>59</v>
      </c>
    </row>
    <row r="257" spans="1:5" x14ac:dyDescent="0.3">
      <c r="A257" t="s">
        <v>29</v>
      </c>
      <c r="B257" t="s">
        <v>101</v>
      </c>
      <c r="C257" t="s">
        <v>165</v>
      </c>
      <c r="D257">
        <f>VLOOKUP(A257,Data!$A$3:$AF$30,26,FALSE)</f>
        <v>73</v>
      </c>
      <c r="E257">
        <f>VLOOKUP(A257,Data!$A$3:$AF$30,27,FALSE)</f>
        <v>59</v>
      </c>
    </row>
    <row r="258" spans="1:5" x14ac:dyDescent="0.3">
      <c r="A258" t="s">
        <v>29</v>
      </c>
      <c r="B258" t="s">
        <v>104</v>
      </c>
      <c r="C258" t="s">
        <v>186</v>
      </c>
      <c r="D258">
        <f>VLOOKUP(A258,Data!$A$3:$AF$30,26,FALSE)</f>
        <v>73</v>
      </c>
      <c r="E258">
        <f>VLOOKUP(A258,Data!$A$3:$AF$30,27,FALSE)</f>
        <v>59</v>
      </c>
    </row>
    <row r="259" spans="1:5" x14ac:dyDescent="0.3">
      <c r="A259" t="s">
        <v>29</v>
      </c>
      <c r="B259" t="s">
        <v>104</v>
      </c>
      <c r="C259" t="s">
        <v>151</v>
      </c>
      <c r="D259">
        <f>VLOOKUP(A259,Data!$A$3:$AF$30,26,FALSE)</f>
        <v>73</v>
      </c>
      <c r="E259">
        <f>VLOOKUP(A259,Data!$A$3:$AF$30,27,FALSE)</f>
        <v>59</v>
      </c>
    </row>
    <row r="260" spans="1:5" x14ac:dyDescent="0.3">
      <c r="A260" t="s">
        <v>29</v>
      </c>
      <c r="B260" t="s">
        <v>108</v>
      </c>
      <c r="C260" t="s">
        <v>151</v>
      </c>
      <c r="D260">
        <f>VLOOKUP(A260,Data!$A$3:$AF$30,26,FALSE)</f>
        <v>73</v>
      </c>
      <c r="E260">
        <f>VLOOKUP(A260,Data!$A$3:$AF$30,27,FALSE)</f>
        <v>59</v>
      </c>
    </row>
    <row r="261" spans="1:5" x14ac:dyDescent="0.3">
      <c r="A261" t="s">
        <v>29</v>
      </c>
      <c r="B261" t="s">
        <v>108</v>
      </c>
      <c r="C261" t="s">
        <v>89</v>
      </c>
      <c r="D261">
        <f>VLOOKUP(A261,Data!$A$3:$AF$30,26,FALSE)</f>
        <v>73</v>
      </c>
      <c r="E261">
        <f>VLOOKUP(A261,Data!$A$3:$AF$30,27,FALSE)</f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251EA0-337E-4E61-AB81-A8D857A7A4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Visualisations</vt:lpstr>
      <vt:lpstr>Director w most awards</vt:lpstr>
      <vt:lpstr>Director w most awards per film</vt:lpstr>
      <vt:lpstr>directors wip - ignore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Green</cp:lastModifiedBy>
  <dcterms:created xsi:type="dcterms:W3CDTF">2025-03-11T18:16:12Z</dcterms:created>
  <dcterms:modified xsi:type="dcterms:W3CDTF">2025-03-27T22:34:00Z</dcterms:modified>
</cp:coreProperties>
</file>